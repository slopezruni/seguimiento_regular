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seguimiento-regular\modules\seguimiento\"/>
    </mc:Choice>
  </mc:AlternateContent>
  <xr:revisionPtr revIDLastSave="0" documentId="13_ncr:1_{C954A0CE-9291-4CE2-A610-9F7F480D6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 de Pago" sheetId="6" r:id="rId1"/>
    <sheet name="TablaResoluciones" sheetId="8" state="hidden" r:id="rId2"/>
    <sheet name="TablaPago" sheetId="9" state="hidden" r:id="rId3"/>
    <sheet name="Cumplimiento Horas" sheetId="3" state="hidden" r:id="rId4"/>
  </sheets>
  <definedNames>
    <definedName name="_xlnm._FilterDatabase" localSheetId="3" hidden="1">'Cumplimiento Horas'!$A$1:$F$35</definedName>
    <definedName name="_xlnm._FilterDatabase" localSheetId="0" hidden="1">'Planilla de Pago'!$B$6:$T$68</definedName>
    <definedName name="_xlnm._FilterDatabase" localSheetId="2" hidden="1">TablaPago!#REF!</definedName>
    <definedName name="_xlnm._FilterDatabase" localSheetId="1" hidden="1">TablaResoluciones!$E$5:$K$56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6" l="1"/>
  <c r="M61" i="6"/>
  <c r="L61" i="6"/>
  <c r="T61" i="6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 Smarteam</author>
  </authors>
  <commentList>
    <comment ref="D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Proyecto Smarteam:</t>
        </r>
        <r>
          <rPr>
            <sz val="9"/>
            <color indexed="81"/>
            <rFont val="Tahoma"/>
            <family val="2"/>
          </rPr>
          <t xml:space="preserve">
NO ADJUDICAR ACTIVO NO TIENE SOPORTE</t>
        </r>
      </text>
    </comment>
    <comment ref="D6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Proyecto Smarteam:</t>
        </r>
        <r>
          <rPr>
            <sz val="9"/>
            <color indexed="81"/>
            <rFont val="Tahoma"/>
            <family val="2"/>
          </rPr>
          <t xml:space="preserve">
NO ADJUDICAR ACTIVO NO TIENE SOPORTE</t>
        </r>
      </text>
    </comment>
  </commentList>
</comments>
</file>

<file path=xl/sharedStrings.xml><?xml version="1.0" encoding="utf-8"?>
<sst xmlns="http://schemas.openxmlformats.org/spreadsheetml/2006/main" count="881" uniqueCount="273">
  <si>
    <t xml:space="preserve">PLANILLA DE PAGO </t>
  </si>
  <si>
    <t>APOYO DE SOSTENIMIENTO REGULAR - 2026 CDP - 4026</t>
  </si>
  <si>
    <t>No</t>
  </si>
  <si>
    <t>DOCUMENTO DE IDENTIFICACION(C.C,T.I. Y/O PASAPORTE)</t>
  </si>
  <si>
    <t>TIPO DE DOCUMENTO</t>
  </si>
  <si>
    <t>NOMBRE</t>
  </si>
  <si>
    <t>RESOLUCION</t>
  </si>
  <si>
    <t>CDP</t>
  </si>
  <si>
    <t>CRP</t>
  </si>
  <si>
    <t>No° CUENTAS BANCARIAS</t>
  </si>
  <si>
    <t xml:space="preserve">ENTIDAD BANCARIA </t>
  </si>
  <si>
    <t>TIPO DE CUENTA BANCARIA</t>
  </si>
  <si>
    <t>VALOR DEL CRP</t>
  </si>
  <si>
    <t>PAGOS ACUMULADOS</t>
  </si>
  <si>
    <t xml:space="preserve">ADICIONES </t>
  </si>
  <si>
    <t>CUOTA</t>
  </si>
  <si>
    <t>DIAS</t>
  </si>
  <si>
    <t>VR.</t>
  </si>
  <si>
    <t>RETENC.</t>
  </si>
  <si>
    <t>NETO A PAGAR</t>
  </si>
  <si>
    <t>SALDO POR PAGAR</t>
  </si>
  <si>
    <t>CC</t>
  </si>
  <si>
    <t>ADRIAN FELIPE USSA MOSQUERA</t>
  </si>
  <si>
    <t>4026 del 09 de enero</t>
  </si>
  <si>
    <t>87075725994</t>
  </si>
  <si>
    <t xml:space="preserve">Nequi S.A </t>
  </si>
  <si>
    <t>Deposito electronico</t>
  </si>
  <si>
    <t>ALEJANDRA PARRA ROJAS</t>
  </si>
  <si>
    <t>470378274</t>
  </si>
  <si>
    <t>Bogotá</t>
  </si>
  <si>
    <t>Ahorros</t>
  </si>
  <si>
    <t>ANDREA CAROLINA ORDOÑEZ OVIEDO</t>
  </si>
  <si>
    <t>Agrario</t>
  </si>
  <si>
    <t>TI</t>
  </si>
  <si>
    <t>ANDRES CAMILO CRIOLLO DELGADO</t>
  </si>
  <si>
    <t>Bancolombia</t>
  </si>
  <si>
    <t>ANGELA PATRICIA ABRIL CEPEDA</t>
  </si>
  <si>
    <t>Davivienda</t>
  </si>
  <si>
    <t>BRAYAN ESTIVEN GAVILANES DIAZ</t>
  </si>
  <si>
    <t>45160982008</t>
  </si>
  <si>
    <t>CARLOS ALBERTO SANCHEZ DAZA</t>
  </si>
  <si>
    <t>CARLOS ANDRES OLIVEROS QUINTERO</t>
  </si>
  <si>
    <t>DIANA CAROLINA SANTACRUZ TORRS</t>
  </si>
  <si>
    <t>87079687872</t>
  </si>
  <si>
    <t>DILLAN ANDRES QUIÑONEZ ESCOBAR</t>
  </si>
  <si>
    <t>91284209562</t>
  </si>
  <si>
    <t>EDWIN DAVID ESTUPIÑAN CASTILLO</t>
  </si>
  <si>
    <t>EMMANUEL DAVID GARCES RUIZ</t>
  </si>
  <si>
    <t>74589152011</t>
  </si>
  <si>
    <t>ERIC GIOVANNY MOMPOTES QUIRA</t>
  </si>
  <si>
    <t>51489121615</t>
  </si>
  <si>
    <t>ERICK ALEJANDRO SILVA</t>
  </si>
  <si>
    <t>ERIKA YASMIN ERAZO</t>
  </si>
  <si>
    <t>FANNY ESPERANZA LOPEZ CRISTANCHO</t>
  </si>
  <si>
    <t>35682687043</t>
  </si>
  <si>
    <t>FANOR STIWAR ZAPATA MINA</t>
  </si>
  <si>
    <t>87054144506</t>
  </si>
  <si>
    <t>FELIPE MALDONADO AGUDELO</t>
  </si>
  <si>
    <t>IBETH PACHECO DE LA HOSTIA</t>
  </si>
  <si>
    <t>JAINER JOSÉ HURTADO CUERO</t>
  </si>
  <si>
    <t>87062535114</t>
  </si>
  <si>
    <t>JANER ANDRES CUERO</t>
  </si>
  <si>
    <t>PPT</t>
  </si>
  <si>
    <t>JESES ALEJANDRO ROJAS SALAZAR</t>
  </si>
  <si>
    <t>JHOJAN DAVID GALINDO ULCHUR</t>
  </si>
  <si>
    <t>JHON ALEJANDRO VALENCIA PARRA</t>
  </si>
  <si>
    <t>87047203371</t>
  </si>
  <si>
    <t>JHON STIVEN LEYTON PATIÑO</t>
  </si>
  <si>
    <t>87055101171</t>
  </si>
  <si>
    <t>JHONATAN ANDRÉS RIASCOS SOSCUÉ</t>
  </si>
  <si>
    <t>91297493383</t>
  </si>
  <si>
    <t>JOSSER PEREZ ALVARAN</t>
  </si>
  <si>
    <t>87063951881</t>
  </si>
  <si>
    <t>JUAN CAMILO QUIÑONES RIASCOS</t>
  </si>
  <si>
    <t>91289108861</t>
  </si>
  <si>
    <t>JUAN ESTEVAN BALANTA ARIAS</t>
  </si>
  <si>
    <t>87065116055</t>
  </si>
  <si>
    <t>KAROL VANESA SANCHEZ NARANJO</t>
  </si>
  <si>
    <t>KERLY LISBETH CONTRERAS GELVES</t>
  </si>
  <si>
    <t>LAURA SOFIA SANDOVAL LAMPREA</t>
  </si>
  <si>
    <t>LUZ ANGELA GÓMEZ MEDINA</t>
  </si>
  <si>
    <t>87057665483</t>
  </si>
  <si>
    <t>MAIKOL ANDRES ALVEAR</t>
  </si>
  <si>
    <t>Caja Social</t>
  </si>
  <si>
    <t>MARCO ANTONIO ANGULO MONTAÑO</t>
  </si>
  <si>
    <t>87075809800</t>
  </si>
  <si>
    <t>MARIA DE LOS ANGELES MARTINEZ</t>
  </si>
  <si>
    <t>07785703833</t>
  </si>
  <si>
    <t>MELANIE MICHELLE ORDOÑEZ CUCALÓN</t>
  </si>
  <si>
    <t>87065136692</t>
  </si>
  <si>
    <t>MIGUEL ANGEL SEVILLANO CORTES</t>
  </si>
  <si>
    <t>91289546508</t>
  </si>
  <si>
    <t>NIVER ALBERTO ARROYO HERNANDEZ</t>
  </si>
  <si>
    <t>ORLANDO FAJARDO ANGEL</t>
  </si>
  <si>
    <t>87057501355</t>
  </si>
  <si>
    <t>PABLO ANDRES PINZON MEDINA</t>
  </si>
  <si>
    <t>87053721853</t>
  </si>
  <si>
    <t>RITA ESNEDA VILLADA ARIAS</t>
  </si>
  <si>
    <t>24106127126</t>
  </si>
  <si>
    <t>SAMUEL STEVEN REALPE DELGADO</t>
  </si>
  <si>
    <t>06089118245</t>
  </si>
  <si>
    <t>SAMUEL YANDI CHA</t>
  </si>
  <si>
    <t>3185521256</t>
  </si>
  <si>
    <t>SANTIAGO GARCIA VALLESILLA</t>
  </si>
  <si>
    <t>87079946340</t>
  </si>
  <si>
    <t>SEBASTIAN REYES GOMEZ</t>
  </si>
  <si>
    <t>87081401372</t>
  </si>
  <si>
    <t>SHARIK NIKOL CEBALLOS SANCHEZ</t>
  </si>
  <si>
    <t>WENDY MELISSA RODRIGUEZ CÁRDENAS</t>
  </si>
  <si>
    <t>91295537391</t>
  </si>
  <si>
    <t>WILLIAM CAMPOS CASTRO</t>
  </si>
  <si>
    <t>YHONALYS ALEXANDRA OCHOA COLAN</t>
  </si>
  <si>
    <t>YOSTIN FELIPE RIVERA VALENCIA</t>
  </si>
  <si>
    <t>ELABORADO POR</t>
  </si>
  <si>
    <t>LIDER DE BIENESTAR AL APRENDIZ</t>
  </si>
  <si>
    <t>COORDINADORA DE FORMACIÓN PROFESIONAL</t>
  </si>
  <si>
    <t>SANTIAGO LOPEZ RAMIREZ</t>
  </si>
  <si>
    <t>SANDRA XIMENA MORA RAMIREZ</t>
  </si>
  <si>
    <t>MARTHA CECILIA LENIS GIL</t>
  </si>
  <si>
    <t>CESAR AUGUSTO VICTORIA CARDONA</t>
  </si>
  <si>
    <t>EL SUSCRITO SUBDIRECTOR (E) DE CENTRO CERTIFICA QUE EL PERIODO DE PAGO ESTA ACORDE CON LA PROYECCIÓN DE PAGO</t>
  </si>
  <si>
    <t>No.</t>
  </si>
  <si>
    <t>Nombre Completo</t>
  </si>
  <si>
    <t>Tipo documento</t>
  </si>
  <si>
    <t>Numero de Documento</t>
  </si>
  <si>
    <t>Nivel de Formación</t>
  </si>
  <si>
    <t>No. Ficha</t>
  </si>
  <si>
    <t>Fecha de Inicio Ficha</t>
  </si>
  <si>
    <t>TECNÓLOGO</t>
  </si>
  <si>
    <t>ANA CATALINA CONGO CASTILLO</t>
  </si>
  <si>
    <t>TÉCNICO </t>
  </si>
  <si>
    <t>3173564 </t>
  </si>
  <si>
    <t> 29/04/2025</t>
  </si>
  <si>
    <t>TÉCNICO</t>
  </si>
  <si>
    <t>BRAYAN ALEXANDER CUARAN CHAPUEL</t>
  </si>
  <si>
    <t>TECNÓLOGO </t>
  </si>
  <si>
    <t> 3316045</t>
  </si>
  <si>
    <t>09/10/2025 </t>
  </si>
  <si>
    <t>CAMILO SANTIAGO ESCOBAR SALAZAR</t>
  </si>
  <si>
    <t>CATHERIN HERNÁNDEZ URBANO</t>
  </si>
  <si>
    <t>DANIEL STIC BARÓN ZAPATA</t>
  </si>
  <si>
    <t>DIANA CAROLINA SANTACRUZ TORRES</t>
  </si>
  <si>
    <t>3173455 </t>
  </si>
  <si>
    <t>29/04/2025 </t>
  </si>
  <si>
    <t>3316055 </t>
  </si>
  <si>
    <t> 9/10/2025</t>
  </si>
  <si>
    <t>JESUS ALBERTO CHANTRE ALVARADO</t>
  </si>
  <si>
    <t>JOSE DAVID ZAMORA VASQUEZ</t>
  </si>
  <si>
    <t>JOSE LEINEL OROZCO TULCANAS</t>
  </si>
  <si>
    <t>9/10/2025 </t>
  </si>
  <si>
    <t>JUAN DANIEL GUZMÁN ISAZA</t>
  </si>
  <si>
    <t>JUAN JOSE MARTINEZ LOPEZ</t>
  </si>
  <si>
    <t>KILLIAN ALEXIS GAVIRIA MEJIA</t>
  </si>
  <si>
    <t> 3316055</t>
  </si>
  <si>
    <t>MARIA ANDREA RODRIGUEZ CUERO</t>
  </si>
  <si>
    <t>OSCAR ANDRES ORTEGA ESCOBAR</t>
  </si>
  <si>
    <t>WILMER DANIEL PEREZ</t>
  </si>
  <si>
    <t>YERALDIN JIMENEZ ORTIZ</t>
  </si>
  <si>
    <t> 3067594</t>
  </si>
  <si>
    <t>ZHARICK JANETH VALENCIA PORTOCARRERO</t>
  </si>
  <si>
    <t>Nombre y apellido del aprendiz</t>
  </si>
  <si>
    <t>T. D</t>
  </si>
  <si>
    <t>Número de identificación</t>
  </si>
  <si>
    <t>Entidad Bancaria</t>
  </si>
  <si>
    <t>Número de cuenta</t>
  </si>
  <si>
    <t>Tipo de Cuenta</t>
  </si>
  <si>
    <t>Valor Para Pagar</t>
  </si>
  <si>
    <t> 255326</t>
  </si>
  <si>
    <t>Bancolombia </t>
  </si>
  <si>
    <t>87075725994 </t>
  </si>
  <si>
    <t> 193226</t>
  </si>
  <si>
    <t> 51489121615</t>
  </si>
  <si>
    <t> Bancolombia</t>
  </si>
  <si>
    <t>35682687043 </t>
  </si>
  <si>
    <t>255426 </t>
  </si>
  <si>
    <t>Davivienda </t>
  </si>
  <si>
    <t>0550488451509787 </t>
  </si>
  <si>
    <t>255626 </t>
  </si>
  <si>
    <t>87047203371 </t>
  </si>
  <si>
    <t>163726 </t>
  </si>
  <si>
    <t>06000034920 </t>
  </si>
  <si>
    <t> 255526</t>
  </si>
  <si>
    <t> 91289108861</t>
  </si>
  <si>
    <t>255726 </t>
  </si>
  <si>
    <t> 87065667684</t>
  </si>
  <si>
    <t>163326 </t>
  </si>
  <si>
    <t>Falabella</t>
  </si>
  <si>
    <t>163426 </t>
  </si>
  <si>
    <t> 255826</t>
  </si>
  <si>
    <t>Davivienda  </t>
  </si>
  <si>
    <t>3185521256 </t>
  </si>
  <si>
    <t> 255926</t>
  </si>
  <si>
    <t> 91295537391</t>
  </si>
  <si>
    <t>TOTAL</t>
  </si>
  <si>
    <t>TIPO DOC</t>
  </si>
  <si>
    <t>DOCUMENTO</t>
  </si>
  <si>
    <t>HORAS INFORME MENSUAL</t>
  </si>
  <si>
    <t>ESTADO</t>
  </si>
  <si>
    <t>1114736506</t>
  </si>
  <si>
    <t>EDINSON STIVEN DIEZ MOTATO</t>
  </si>
  <si>
    <t>1089508552</t>
  </si>
  <si>
    <t>JHONEI REINALDO TENORIO ANGULO</t>
  </si>
  <si>
    <t>59679622</t>
  </si>
  <si>
    <t>ELIZABETH QUIÑONES BERMUDEZ</t>
  </si>
  <si>
    <t>ANDRES CAMILO RAMIREZ ORTEGA</t>
  </si>
  <si>
    <t>1010156213</t>
  </si>
  <si>
    <t>JAIR ANDRES JIMENEZ DOMINGUEZ</t>
  </si>
  <si>
    <t>1113699102</t>
  </si>
  <si>
    <t>SEBASTIAN MENDEZ PEREZ</t>
  </si>
  <si>
    <t>1193202364</t>
  </si>
  <si>
    <t>CRISTIAN ANDRES QUIJANO SEPULVEDA</t>
  </si>
  <si>
    <t>1193558879</t>
  </si>
  <si>
    <t>JARRINSON SILVA OTERO</t>
  </si>
  <si>
    <t>1005966210</t>
  </si>
  <si>
    <t>JULIAN ANDRES LOPEZ CARMONA</t>
  </si>
  <si>
    <t>1010098431</t>
  </si>
  <si>
    <t>JUAN DAVID NARVAEZ NARVAEZ</t>
  </si>
  <si>
    <t>1143846250</t>
  </si>
  <si>
    <t>JHONNATAN MUÑOZ DULCEY</t>
  </si>
  <si>
    <t>1006054178</t>
  </si>
  <si>
    <t>JUAN FELIPE GARCIA MURILLO</t>
  </si>
  <si>
    <t>1234194363</t>
  </si>
  <si>
    <t>ANGIE CAROLINA CASTRO VIDAL</t>
  </si>
  <si>
    <t>1192766269</t>
  </si>
  <si>
    <t>JESSICA ALEJANDRA GAMBOA CARMONA</t>
  </si>
  <si>
    <t>1005832380</t>
  </si>
  <si>
    <t>JHANNYRE MONTES GOMEZ</t>
  </si>
  <si>
    <t>1143860242</t>
  </si>
  <si>
    <t>BRAYAN ALEXIS ARANDA ORTEGA</t>
  </si>
  <si>
    <t>1010157503</t>
  </si>
  <si>
    <t>CHRISTIAN ALEJANDRO GUERRERO CORRALES</t>
  </si>
  <si>
    <t>1004075073</t>
  </si>
  <si>
    <t>WILMER ALEJANDRO CASTILLO PERDOMO</t>
  </si>
  <si>
    <t>PAULA ANDREA ECHEVERRIA HERRERA</t>
  </si>
  <si>
    <t>1007854954</t>
  </si>
  <si>
    <t>ISAAC ESPINOSA VELASQUEZ</t>
  </si>
  <si>
    <t>1143995554</t>
  </si>
  <si>
    <t>DENNIS ANDRES MOSQUERA CASTILLO</t>
  </si>
  <si>
    <t>1058788834</t>
  </si>
  <si>
    <t xml:space="preserve">EDWIN JUSPIAN </t>
  </si>
  <si>
    <t>1143984146</t>
  </si>
  <si>
    <t>YERSON CASTILLO LASSO</t>
  </si>
  <si>
    <t>1143990212</t>
  </si>
  <si>
    <t>JOAN ANDRES TORRES RIOS</t>
  </si>
  <si>
    <t>1002925812</t>
  </si>
  <si>
    <t>JHONY ALEXANDER MAMIAN ZEMANATE</t>
  </si>
  <si>
    <t>1113696743</t>
  </si>
  <si>
    <t>SEBASTIAN PRIMERO SILVA</t>
  </si>
  <si>
    <t>1113669668</t>
  </si>
  <si>
    <t>BRAHIAN ANDRES MONTEALEGRE ROMERO</t>
  </si>
  <si>
    <t>1115092341</t>
  </si>
  <si>
    <t>YEISON FERNANDO CONRADO MORENO</t>
  </si>
  <si>
    <t>1193033133</t>
  </si>
  <si>
    <t>DIEGO HERNAN VALDERRAMA FERNANDEZ</t>
  </si>
  <si>
    <t>1234195001</t>
  </si>
  <si>
    <t>LUIS FERNANDO SALAS PERLAZA</t>
  </si>
  <si>
    <t>1005870719</t>
  </si>
  <si>
    <t>VICTOR JAMES VELASQUEZ VIRISSIMO</t>
  </si>
  <si>
    <t>1032505500</t>
  </si>
  <si>
    <t>STACEY DINETH GUILLOT PINTO</t>
  </si>
  <si>
    <t>1006849646</t>
  </si>
  <si>
    <t>JORGE DAVID ANGULO CORTES</t>
  </si>
  <si>
    <t>FABIAN STIVEN BOTINA PINTO</t>
  </si>
  <si>
    <t xml:space="preserve"> </t>
  </si>
  <si>
    <t xml:space="preserve">    RECIBIDO A SATISFACCIÓN POR EL SUBDIRECTOR (E) </t>
  </si>
  <si>
    <t>FECHA DE ELABORACIÓN 11 OCTUBRE DEL 2026</t>
  </si>
  <si>
    <t>PERIODO DE PAGO: SEPTIEMBRE</t>
  </si>
  <si>
    <t>CRISTIAN ARCOS BENAVIDES</t>
  </si>
  <si>
    <t>JUAN SEBASTIAN AGUIRRE ROJAS</t>
  </si>
  <si>
    <t>SANTIAGO OSORIO ADARVE</t>
  </si>
  <si>
    <t>YONIER NICOLAS SOLARTE NARVAEZ</t>
  </si>
  <si>
    <t>YURY AMADO NOVOA</t>
  </si>
  <si>
    <t>76-08905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</si>
</sst>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-* #,##0\ _€_-;\-* #,##0\ _€_-;_-* &quot;-&quot;??\ _€_-;_-@_-"/>
    <numFmt numFmtId="166" formatCode="[$$-240A]\ #,##0"/>
    <numFmt numFmtId="167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7" fillId="3" borderId="5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65" fontId="7" fillId="0" borderId="6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7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167" fontId="6" fillId="0" borderId="1" xfId="3" applyNumberFormat="1" applyFont="1" applyFill="1" applyBorder="1" applyAlignment="1">
      <alignment horizontal="center" vertical="center"/>
    </xf>
    <xf numFmtId="167" fontId="7" fillId="0" borderId="1" xfId="3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5" fontId="6" fillId="0" borderId="15" xfId="1" applyNumberFormat="1" applyFont="1" applyFill="1" applyBorder="1" applyAlignment="1">
      <alignment horizontal="center" vertical="center"/>
    </xf>
    <xf numFmtId="49" fontId="6" fillId="0" borderId="15" xfId="1" applyNumberFormat="1" applyFont="1" applyFill="1" applyBorder="1" applyAlignment="1">
      <alignment horizontal="center" vertical="center"/>
    </xf>
    <xf numFmtId="167" fontId="6" fillId="0" borderId="15" xfId="3" applyNumberFormat="1" applyFont="1" applyFill="1" applyBorder="1" applyAlignment="1">
      <alignment horizontal="center" vertical="center"/>
    </xf>
    <xf numFmtId="0" fontId="6" fillId="0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Fill="1" applyBorder="1" applyAlignment="1">
      <alignment horizontal="center" vertical="center"/>
    </xf>
    <xf numFmtId="0" fontId="6" fillId="0" borderId="13" xfId="1" applyNumberFormat="1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7" fillId="0" borderId="12" xfId="1" applyNumberFormat="1" applyFont="1" applyFill="1" applyBorder="1" applyAlignment="1">
      <alignment horizontal="center" vertical="center"/>
    </xf>
    <xf numFmtId="49" fontId="6" fillId="0" borderId="12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167" fontId="6" fillId="0" borderId="12" xfId="3" applyNumberFormat="1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66" fontId="6" fillId="0" borderId="1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3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6" fillId="6" borderId="1" xfId="1" applyNumberFormat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6" fontId="11" fillId="0" borderId="22" xfId="0" applyNumberFormat="1" applyFont="1" applyBorder="1" applyAlignment="1">
      <alignment horizontal="center" vertical="center" wrapText="1"/>
    </xf>
    <xf numFmtId="6" fontId="10" fillId="0" borderId="22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5" fontId="7" fillId="0" borderId="18" xfId="1" applyNumberFormat="1" applyFont="1" applyFill="1" applyBorder="1" applyAlignment="1">
      <alignment horizontal="center" vertical="center"/>
    </xf>
    <xf numFmtId="165" fontId="7" fillId="0" borderId="19" xfId="1" applyNumberFormat="1" applyFont="1" applyFill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49" fontId="7" fillId="0" borderId="18" xfId="1" applyNumberFormat="1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8" xfId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7" fillId="0" borderId="11" xfId="1" applyNumberFormat="1" applyFont="1" applyFill="1" applyBorder="1" applyAlignment="1">
      <alignment horizontal="center" vertical="center" wrapText="1"/>
    </xf>
    <xf numFmtId="49" fontId="7" fillId="0" borderId="11" xfId="1" applyNumberFormat="1" applyFont="1" applyFill="1" applyBorder="1" applyAlignment="1">
      <alignment horizontal="center" vertical="center" wrapText="1"/>
    </xf>
    <xf numFmtId="49" fontId="7" fillId="0" borderId="3" xfId="1" applyNumberFormat="1" applyFont="1" applyFill="1" applyBorder="1" applyAlignment="1">
      <alignment horizontal="center" vertical="center" wrapText="1"/>
    </xf>
    <xf numFmtId="167" fontId="7" fillId="0" borderId="11" xfId="3" applyNumberFormat="1" applyFont="1" applyFill="1" applyBorder="1" applyAlignment="1">
      <alignment horizontal="center" vertical="center" wrapText="1"/>
    </xf>
    <xf numFmtId="167" fontId="7" fillId="0" borderId="3" xfId="3" applyNumberFormat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0" fontId="7" fillId="0" borderId="11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Normal 2" xfId="2" xr:uid="{00000000-0005-0000-0000-000003000000}"/>
  </cellStyles>
  <dxfs count="49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893538</xdr:colOff>
      <xdr:row>62</xdr:row>
      <xdr:rowOff>156614</xdr:rowOff>
    </xdr:from>
    <xdr:to>
      <xdr:col>7</xdr:col>
      <xdr:colOff>5311</xdr:colOff>
      <xdr:row>64</xdr:row>
      <xdr:rowOff>100585</xdr:rowOff>
    </xdr:to>
    <xdr:pic>
      <xdr:nvPicPr>
        <xdr:cNvPr id="4" name="Imagen 3" descr="Texto&#10;&#10;El contenido generado por IA puede ser incorrecto.">
          <a:extLst>
            <a:ext uri="{FF2B5EF4-FFF2-40B4-BE49-F238E27FC236}">
              <a16:creationId xmlns:a16="http://schemas.microsoft.com/office/drawing/2014/main" id="{0F4AB22F-E5F9-613D-BF7A-5F2270CC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4163" y="12108221"/>
          <a:ext cx="1337108" cy="329507"/>
        </a:xfrm>
        <a:prstGeom prst="rect">
          <a:avLst/>
        </a:prstGeom>
      </xdr:spPr>
    </xdr:pic>
    <xdr:clientData/>
  </xdr:twoCellAnchor>
  <xdr:twoCellAnchor editAs="oneCell">
    <xdr:from>
      <xdr:col>2</xdr:col>
      <xdr:colOff>2715759</xdr:colOff>
      <xdr:row>63</xdr:row>
      <xdr:rowOff>39687</xdr:rowOff>
    </xdr:from>
    <xdr:to>
      <xdr:col>4</xdr:col>
      <xdr:colOff>204108</xdr:colOff>
      <xdr:row>65</xdr:row>
      <xdr:rowOff>59278</xdr:rowOff>
    </xdr:to>
    <xdr:pic>
      <xdr:nvPicPr>
        <xdr:cNvPr id="3" name="Imagen 2" descr="Texto, Carta&#10;&#10;El contenido generado por IA puede ser incorrecto.">
          <a:extLst>
            <a:ext uri="{FF2B5EF4-FFF2-40B4-BE49-F238E27FC236}">
              <a16:creationId xmlns:a16="http://schemas.microsoft.com/office/drawing/2014/main" id="{1D1C94D1-BE66-F024-5139-4A71E6B11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colorTemperature colorTemp="47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807" t="43255" r="38903" b="48637"/>
        <a:stretch>
          <a:fillRect/>
        </a:stretch>
      </xdr:blipFill>
      <xdr:spPr bwMode="auto">
        <a:xfrm>
          <a:off x="3861027" y="12184062"/>
          <a:ext cx="1559152" cy="4051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1235983</xdr:colOff>
      <xdr:row>0</xdr:row>
      <xdr:rowOff>179161</xdr:rowOff>
    </xdr:from>
    <xdr:to>
      <xdr:col>4</xdr:col>
      <xdr:colOff>2287751</xdr:colOff>
      <xdr:row>6</xdr:row>
      <xdr:rowOff>63500</xdr:rowOff>
    </xdr:to>
    <xdr:pic>
      <xdr:nvPicPr>
        <xdr:cNvPr id="7" name="Imagen 6" descr="Bienvenido Portal PQRSD SENA">
          <a:extLst>
            <a:ext uri="{FF2B5EF4-FFF2-40B4-BE49-F238E27FC236}">
              <a16:creationId xmlns:a16="http://schemas.microsoft.com/office/drawing/2014/main" id="{9113BEFD-5018-A646-6976-A8305333F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983" y="179161"/>
          <a:ext cx="1051768" cy="1027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70"/>
  <sheetViews>
    <sheetView tabSelected="1" topLeftCell="A52" zoomScaleNormal="120" workbookViewId="0">
      <selection activeCell="I63" sqref="I63:L66"/>
    </sheetView>
  </sheetViews>
  <sheetFormatPr baseColWidth="10" defaultColWidth="11.42578125" defaultRowHeight="15" x14ac:dyDescent="0.25"/>
  <cols>
    <col min="1" max="1" width="11.42578125" style="29"/>
    <col min="2" max="2" width="3.42578125" style="29" bestFit="1" customWidth="1"/>
    <col min="3" max="3" width="39.42578125" style="29" customWidth="1"/>
    <col min="4" max="4" width="13.42578125" style="29" customWidth="1"/>
    <col min="5" max="5" width="43.140625" style="29" bestFit="1" customWidth="1"/>
    <col min="6" max="6" width="13.42578125" style="29" bestFit="1" customWidth="1"/>
    <col min="7" max="7" width="19.42578125" style="29" bestFit="1" customWidth="1"/>
    <col min="8" max="8" width="7.42578125" style="29" bestFit="1" customWidth="1"/>
    <col min="9" max="9" width="18.42578125" style="49" customWidth="1"/>
    <col min="10" max="10" width="18.42578125" style="29" customWidth="1"/>
    <col min="11" max="11" width="17" style="29" customWidth="1"/>
    <col min="12" max="12" width="16.42578125" style="51" bestFit="1" customWidth="1"/>
    <col min="13" max="13" width="23.140625" style="51" bestFit="1" customWidth="1"/>
    <col min="14" max="14" width="11" style="49" customWidth="1"/>
    <col min="15" max="15" width="8.42578125" style="49" customWidth="1"/>
    <col min="16" max="16" width="5.42578125" style="49" bestFit="1" customWidth="1"/>
    <col min="17" max="17" width="13.85546875" style="51" bestFit="1" customWidth="1"/>
    <col min="18" max="18" width="8.85546875" style="49" bestFit="1" customWidth="1"/>
    <col min="19" max="19" width="13.42578125" style="51" customWidth="1"/>
    <col min="20" max="20" width="14.85546875" style="29" customWidth="1"/>
    <col min="21" max="16384" width="11.42578125" style="29"/>
  </cols>
  <sheetData>
    <row r="1" spans="2:20" x14ac:dyDescent="0.25">
      <c r="B1" s="23"/>
      <c r="C1" s="24"/>
      <c r="D1" s="24"/>
      <c r="E1" s="24"/>
      <c r="F1" s="24"/>
      <c r="G1" s="25"/>
      <c r="H1" s="25"/>
      <c r="I1" s="26"/>
      <c r="J1" s="25"/>
      <c r="K1" s="25"/>
      <c r="L1" s="27"/>
      <c r="M1" s="27"/>
      <c r="N1" s="26"/>
      <c r="O1" s="26"/>
      <c r="P1" s="26"/>
      <c r="Q1" s="27"/>
      <c r="R1" s="26"/>
      <c r="S1" s="27"/>
      <c r="T1" s="28"/>
    </row>
    <row r="2" spans="2:20" x14ac:dyDescent="0.25">
      <c r="B2" s="30"/>
      <c r="C2"/>
      <c r="D2" s="31"/>
      <c r="E2" s="31"/>
      <c r="F2" s="31"/>
      <c r="G2" s="32"/>
      <c r="H2" s="32"/>
      <c r="I2" s="33"/>
      <c r="J2" s="32"/>
      <c r="K2" s="32"/>
      <c r="L2" s="34"/>
      <c r="M2" s="34"/>
      <c r="N2" s="33"/>
      <c r="O2" s="33"/>
      <c r="P2" s="33"/>
      <c r="Q2" s="34"/>
      <c r="R2" s="33"/>
      <c r="S2" s="34"/>
      <c r="T2" s="35"/>
    </row>
    <row r="3" spans="2:20" x14ac:dyDescent="0.25">
      <c r="B3" s="30"/>
      <c r="C3" s="31"/>
      <c r="D3" s="31"/>
      <c r="E3" s="31"/>
      <c r="F3" s="31"/>
      <c r="G3" s="36"/>
      <c r="H3" s="36"/>
      <c r="I3" s="37"/>
      <c r="J3" s="36" t="s">
        <v>0</v>
      </c>
      <c r="K3" s="32"/>
      <c r="L3" s="34"/>
      <c r="M3" s="34"/>
      <c r="N3" s="33"/>
      <c r="O3" s="33"/>
      <c r="P3" s="33"/>
      <c r="Q3" s="34"/>
      <c r="R3" s="33"/>
      <c r="S3" s="34"/>
      <c r="T3" s="35"/>
    </row>
    <row r="4" spans="2:20" x14ac:dyDescent="0.25">
      <c r="B4" s="30"/>
      <c r="C4" s="31"/>
      <c r="D4" s="31"/>
      <c r="E4" s="31"/>
      <c r="F4" s="32"/>
      <c r="G4" s="32"/>
      <c r="H4" s="33"/>
      <c r="J4" s="36" t="s">
        <v>1</v>
      </c>
      <c r="K4" s="34"/>
      <c r="L4" s="34"/>
      <c r="M4" s="33"/>
      <c r="N4" s="33"/>
      <c r="O4" s="33"/>
      <c r="P4" s="34"/>
      <c r="Q4" s="33"/>
      <c r="R4" s="34"/>
      <c r="S4" s="35"/>
    </row>
    <row r="5" spans="2:20" x14ac:dyDescent="0.25">
      <c r="B5" s="30"/>
      <c r="C5" s="31"/>
      <c r="D5" s="31"/>
      <c r="E5" s="31"/>
      <c r="F5" s="32"/>
      <c r="G5" s="32"/>
      <c r="H5" s="33"/>
      <c r="I5" s="32"/>
      <c r="J5" s="32"/>
      <c r="K5" s="34"/>
      <c r="L5" s="34"/>
      <c r="M5" s="33"/>
      <c r="N5" s="33"/>
      <c r="O5" s="33"/>
      <c r="P5" s="34"/>
      <c r="Q5" s="33"/>
      <c r="R5" s="34"/>
      <c r="S5" s="35"/>
    </row>
    <row r="6" spans="2:20" x14ac:dyDescent="0.25">
      <c r="B6" s="30"/>
      <c r="C6" s="31"/>
      <c r="D6" s="31"/>
      <c r="E6" s="31"/>
      <c r="F6" s="36"/>
      <c r="G6" s="36"/>
      <c r="H6" s="33"/>
      <c r="J6" s="32" t="s">
        <v>265</v>
      </c>
      <c r="K6" s="34"/>
      <c r="L6" s="34"/>
      <c r="M6" s="33"/>
      <c r="N6" s="33"/>
      <c r="O6" s="33"/>
      <c r="P6" s="34"/>
      <c r="Q6" s="33"/>
      <c r="R6" s="34"/>
      <c r="S6" s="35"/>
    </row>
    <row r="7" spans="2:20" x14ac:dyDescent="0.25">
      <c r="B7" s="38"/>
      <c r="C7" s="39"/>
      <c r="D7" s="39"/>
      <c r="E7" s="39"/>
      <c r="F7" s="39"/>
      <c r="G7" s="40"/>
      <c r="H7" s="40"/>
      <c r="I7" s="41"/>
      <c r="J7" s="42" t="s">
        <v>266</v>
      </c>
      <c r="K7" s="42"/>
      <c r="L7" s="43"/>
      <c r="M7" s="43"/>
      <c r="N7" s="41"/>
      <c r="O7" s="41"/>
      <c r="P7" s="41"/>
      <c r="Q7" s="43"/>
      <c r="R7" s="41"/>
      <c r="S7" s="43"/>
      <c r="T7" s="44"/>
    </row>
    <row r="8" spans="2:20" x14ac:dyDescent="0.25">
      <c r="B8" s="68" t="s">
        <v>2</v>
      </c>
      <c r="C8" s="70" t="s">
        <v>3</v>
      </c>
      <c r="D8" s="72" t="s">
        <v>4</v>
      </c>
      <c r="E8" s="73" t="s">
        <v>5</v>
      </c>
      <c r="F8" s="75" t="s">
        <v>6</v>
      </c>
      <c r="G8" s="75" t="s">
        <v>7</v>
      </c>
      <c r="H8" s="88" t="s">
        <v>8</v>
      </c>
      <c r="I8" s="76" t="s">
        <v>9</v>
      </c>
      <c r="J8" s="75" t="s">
        <v>10</v>
      </c>
      <c r="K8" s="75" t="s">
        <v>11</v>
      </c>
      <c r="L8" s="78" t="s">
        <v>12</v>
      </c>
      <c r="M8" s="78" t="s">
        <v>13</v>
      </c>
      <c r="N8" s="76" t="s">
        <v>14</v>
      </c>
      <c r="O8" s="76" t="s">
        <v>15</v>
      </c>
      <c r="P8" s="76" t="s">
        <v>16</v>
      </c>
      <c r="Q8" s="78" t="s">
        <v>17</v>
      </c>
      <c r="R8" s="76" t="s">
        <v>18</v>
      </c>
      <c r="S8" s="78" t="s">
        <v>19</v>
      </c>
      <c r="T8" s="88" t="s">
        <v>20</v>
      </c>
    </row>
    <row r="9" spans="2:20" x14ac:dyDescent="0.25">
      <c r="B9" s="69"/>
      <c r="C9" s="71"/>
      <c r="D9" s="70"/>
      <c r="E9" s="74"/>
      <c r="F9" s="73"/>
      <c r="G9" s="73"/>
      <c r="H9" s="89"/>
      <c r="I9" s="77"/>
      <c r="J9" s="73"/>
      <c r="K9" s="73"/>
      <c r="L9" s="79"/>
      <c r="M9" s="79"/>
      <c r="N9" s="77"/>
      <c r="O9" s="77"/>
      <c r="P9" s="77"/>
      <c r="Q9" s="79"/>
      <c r="R9" s="77"/>
      <c r="S9" s="79"/>
      <c r="T9" s="89"/>
    </row>
    <row r="10" spans="2:20" x14ac:dyDescent="0.25">
      <c r="B10" s="45">
        <v>1</v>
      </c>
      <c r="C10" s="9">
        <v>1061531645</v>
      </c>
      <c r="D10" s="9" t="s">
        <v>21</v>
      </c>
      <c r="E10" s="9" t="s">
        <v>22</v>
      </c>
      <c r="F10" s="9" t="s">
        <v>272</v>
      </c>
      <c r="G10" s="55" t="s">
        <v>23</v>
      </c>
      <c r="H10" s="19">
        <v>255326</v>
      </c>
      <c r="I10" s="47" t="s">
        <v>24</v>
      </c>
      <c r="J10" s="9" t="s">
        <v>25</v>
      </c>
      <c r="K10" s="48" t="s">
        <v>26</v>
      </c>
      <c r="L10" s="20">
        <v>4814990</v>
      </c>
      <c r="M10" s="20">
        <v>1750906</v>
      </c>
      <c r="N10" s="20">
        <v>0</v>
      </c>
      <c r="O10" s="18">
        <v>3</v>
      </c>
      <c r="P10" s="18">
        <v>30</v>
      </c>
      <c r="Q10" s="20">
        <v>875453</v>
      </c>
      <c r="R10" s="46"/>
      <c r="S10" s="20">
        <v>875453</v>
      </c>
      <c r="T10" s="20">
        <v>2188631</v>
      </c>
    </row>
    <row r="11" spans="2:20" x14ac:dyDescent="0.25">
      <c r="B11" s="45">
        <v>2</v>
      </c>
      <c r="C11" s="9">
        <v>1147955081</v>
      </c>
      <c r="D11" s="9" t="s">
        <v>21</v>
      </c>
      <c r="E11" s="9" t="s">
        <v>27</v>
      </c>
      <c r="F11" s="9" t="s">
        <v>272</v>
      </c>
      <c r="G11" s="55" t="s">
        <v>23</v>
      </c>
      <c r="H11" s="19">
        <v>163126</v>
      </c>
      <c r="I11" s="47" t="s">
        <v>28</v>
      </c>
      <c r="J11" s="9" t="s">
        <v>29</v>
      </c>
      <c r="K11" s="48" t="s">
        <v>30</v>
      </c>
      <c r="L11" s="20">
        <v>6565896</v>
      </c>
      <c r="M11" s="20">
        <v>3501812</v>
      </c>
      <c r="N11" s="20">
        <v>0</v>
      </c>
      <c r="O11" s="18">
        <v>5</v>
      </c>
      <c r="P11" s="18">
        <v>30</v>
      </c>
      <c r="Q11" s="20">
        <v>875453</v>
      </c>
      <c r="R11" s="46"/>
      <c r="S11" s="20">
        <v>875453</v>
      </c>
      <c r="T11" s="20">
        <v>2188631</v>
      </c>
    </row>
    <row r="12" spans="2:20" x14ac:dyDescent="0.25">
      <c r="B12" s="45">
        <v>3</v>
      </c>
      <c r="C12" s="9">
        <v>1114623302</v>
      </c>
      <c r="D12" s="9" t="s">
        <v>33</v>
      </c>
      <c r="E12" s="9" t="s">
        <v>34</v>
      </c>
      <c r="F12" s="9" t="s">
        <v>272</v>
      </c>
      <c r="G12" s="55" t="s">
        <v>23</v>
      </c>
      <c r="H12" s="19">
        <v>271426</v>
      </c>
      <c r="I12" s="47">
        <v>86497856282</v>
      </c>
      <c r="J12" s="9" t="s">
        <v>35</v>
      </c>
      <c r="K12" s="48" t="s">
        <v>30</v>
      </c>
      <c r="L12" s="20">
        <v>3939537</v>
      </c>
      <c r="M12" s="20">
        <v>875453</v>
      </c>
      <c r="N12" s="20">
        <v>0</v>
      </c>
      <c r="O12" s="18">
        <v>2</v>
      </c>
      <c r="P12" s="18">
        <v>30</v>
      </c>
      <c r="Q12" s="20">
        <v>875453</v>
      </c>
      <c r="R12" s="46"/>
      <c r="S12" s="20">
        <v>875453</v>
      </c>
      <c r="T12" s="20">
        <v>2188631</v>
      </c>
    </row>
    <row r="13" spans="2:20" x14ac:dyDescent="0.25">
      <c r="B13" s="45">
        <v>4</v>
      </c>
      <c r="C13" s="9">
        <v>1073232845</v>
      </c>
      <c r="D13" s="9" t="s">
        <v>21</v>
      </c>
      <c r="E13" s="9" t="s">
        <v>36</v>
      </c>
      <c r="F13" s="9" t="s">
        <v>272</v>
      </c>
      <c r="G13" s="55" t="s">
        <v>23</v>
      </c>
      <c r="H13" s="19">
        <v>271526</v>
      </c>
      <c r="I13" s="47">
        <v>3014449279</v>
      </c>
      <c r="J13" s="9" t="s">
        <v>37</v>
      </c>
      <c r="K13" s="48" t="s">
        <v>30</v>
      </c>
      <c r="L13" s="20">
        <v>3939537</v>
      </c>
      <c r="M13" s="20">
        <v>875453</v>
      </c>
      <c r="N13" s="20">
        <v>0</v>
      </c>
      <c r="O13" s="18">
        <v>2</v>
      </c>
      <c r="P13" s="18">
        <v>30</v>
      </c>
      <c r="Q13" s="20">
        <v>875453</v>
      </c>
      <c r="R13" s="46"/>
      <c r="S13" s="20">
        <v>875453</v>
      </c>
      <c r="T13" s="20">
        <v>2188631</v>
      </c>
    </row>
    <row r="14" spans="2:20" x14ac:dyDescent="0.25">
      <c r="B14" s="45">
        <v>5</v>
      </c>
      <c r="C14" s="9">
        <v>1111667242</v>
      </c>
      <c r="D14" s="9" t="s">
        <v>21</v>
      </c>
      <c r="E14" s="9" t="s">
        <v>38</v>
      </c>
      <c r="F14" s="9" t="s">
        <v>272</v>
      </c>
      <c r="G14" s="55" t="s">
        <v>23</v>
      </c>
      <c r="H14" s="19">
        <v>193126</v>
      </c>
      <c r="I14" s="47" t="s">
        <v>39</v>
      </c>
      <c r="J14" s="9" t="s">
        <v>35</v>
      </c>
      <c r="K14" s="48" t="s">
        <v>30</v>
      </c>
      <c r="L14" s="20">
        <v>5690443</v>
      </c>
      <c r="M14" s="20">
        <v>2626359</v>
      </c>
      <c r="N14" s="20">
        <v>0</v>
      </c>
      <c r="O14" s="18">
        <v>4</v>
      </c>
      <c r="P14" s="18">
        <v>30</v>
      </c>
      <c r="Q14" s="20">
        <v>875453</v>
      </c>
      <c r="R14" s="46"/>
      <c r="S14" s="20">
        <v>875453</v>
      </c>
      <c r="T14" s="20">
        <v>2188631</v>
      </c>
    </row>
    <row r="15" spans="2:20" x14ac:dyDescent="0.25">
      <c r="B15" s="45">
        <v>6</v>
      </c>
      <c r="C15" s="9">
        <v>1059240504</v>
      </c>
      <c r="D15" s="9" t="s">
        <v>33</v>
      </c>
      <c r="E15" s="9" t="s">
        <v>40</v>
      </c>
      <c r="F15" s="9" t="s">
        <v>272</v>
      </c>
      <c r="G15" s="55" t="s">
        <v>23</v>
      </c>
      <c r="H15" s="19">
        <v>271626</v>
      </c>
      <c r="I15" s="47">
        <v>87081546038</v>
      </c>
      <c r="J15" s="9" t="s">
        <v>25</v>
      </c>
      <c r="K15" s="48" t="s">
        <v>26</v>
      </c>
      <c r="L15" s="20">
        <v>3939537</v>
      </c>
      <c r="M15" s="20">
        <v>875453</v>
      </c>
      <c r="N15" s="20">
        <v>0</v>
      </c>
      <c r="O15" s="18">
        <v>2</v>
      </c>
      <c r="P15" s="18">
        <v>30</v>
      </c>
      <c r="Q15" s="20">
        <v>875453</v>
      </c>
      <c r="R15" s="46"/>
      <c r="S15" s="20">
        <v>875453</v>
      </c>
      <c r="T15" s="20">
        <v>2188631</v>
      </c>
    </row>
    <row r="16" spans="2:20" x14ac:dyDescent="0.25">
      <c r="B16" s="45">
        <v>7</v>
      </c>
      <c r="C16" s="61">
        <v>1006211024</v>
      </c>
      <c r="D16" s="9" t="s">
        <v>21</v>
      </c>
      <c r="E16" s="61" t="s">
        <v>267</v>
      </c>
      <c r="F16" s="9" t="s">
        <v>272</v>
      </c>
      <c r="G16" s="55" t="s">
        <v>23</v>
      </c>
      <c r="H16" s="19">
        <v>305326</v>
      </c>
      <c r="I16" s="47">
        <v>87066836589</v>
      </c>
      <c r="J16" s="9" t="s">
        <v>25</v>
      </c>
      <c r="K16" s="48" t="s">
        <v>26</v>
      </c>
      <c r="L16" s="20">
        <v>3064084</v>
      </c>
      <c r="M16" s="20">
        <v>0</v>
      </c>
      <c r="N16" s="20">
        <v>0</v>
      </c>
      <c r="O16" s="18">
        <v>1</v>
      </c>
      <c r="P16" s="18">
        <v>30</v>
      </c>
      <c r="Q16" s="20">
        <v>875453</v>
      </c>
      <c r="R16" s="46"/>
      <c r="S16" s="20">
        <v>875453</v>
      </c>
      <c r="T16" s="20">
        <v>2188631</v>
      </c>
    </row>
    <row r="17" spans="2:20" x14ac:dyDescent="0.25">
      <c r="B17" s="45">
        <v>8</v>
      </c>
      <c r="C17" s="9">
        <v>1061723885</v>
      </c>
      <c r="D17" s="9" t="s">
        <v>21</v>
      </c>
      <c r="E17" s="9" t="s">
        <v>42</v>
      </c>
      <c r="F17" s="9" t="s">
        <v>272</v>
      </c>
      <c r="G17" s="55" t="s">
        <v>23</v>
      </c>
      <c r="H17" s="19">
        <v>122426</v>
      </c>
      <c r="I17" s="47" t="s">
        <v>43</v>
      </c>
      <c r="J17" s="9" t="s">
        <v>25</v>
      </c>
      <c r="K17" s="48" t="s">
        <v>26</v>
      </c>
      <c r="L17" s="20">
        <v>7441349</v>
      </c>
      <c r="M17" s="20">
        <v>4377265</v>
      </c>
      <c r="N17" s="20">
        <v>0</v>
      </c>
      <c r="O17" s="18">
        <v>6</v>
      </c>
      <c r="P17" s="18">
        <v>30</v>
      </c>
      <c r="Q17" s="20">
        <v>875453</v>
      </c>
      <c r="R17" s="46"/>
      <c r="S17" s="20">
        <v>875453</v>
      </c>
      <c r="T17" s="20">
        <v>2188631</v>
      </c>
    </row>
    <row r="18" spans="2:20" x14ac:dyDescent="0.25">
      <c r="B18" s="45">
        <v>9</v>
      </c>
      <c r="C18" s="9">
        <v>1111667560</v>
      </c>
      <c r="D18" s="9" t="s">
        <v>21</v>
      </c>
      <c r="E18" s="9" t="s">
        <v>44</v>
      </c>
      <c r="F18" s="9" t="s">
        <v>272</v>
      </c>
      <c r="G18" s="55" t="s">
        <v>23</v>
      </c>
      <c r="H18" s="19">
        <v>122626</v>
      </c>
      <c r="I18" s="47" t="s">
        <v>45</v>
      </c>
      <c r="J18" s="9" t="s">
        <v>35</v>
      </c>
      <c r="K18" s="48" t="s">
        <v>30</v>
      </c>
      <c r="L18" s="20">
        <v>7441349</v>
      </c>
      <c r="M18" s="20">
        <v>4377265</v>
      </c>
      <c r="N18" s="20">
        <v>0</v>
      </c>
      <c r="O18" s="18">
        <v>6</v>
      </c>
      <c r="P18" s="18">
        <v>30</v>
      </c>
      <c r="Q18" s="20">
        <v>875453</v>
      </c>
      <c r="R18" s="46"/>
      <c r="S18" s="20">
        <v>875453</v>
      </c>
      <c r="T18" s="20">
        <v>2188631</v>
      </c>
    </row>
    <row r="19" spans="2:20" x14ac:dyDescent="0.25">
      <c r="B19" s="45">
        <v>10</v>
      </c>
      <c r="C19" s="9">
        <v>1110283346</v>
      </c>
      <c r="D19" s="9" t="s">
        <v>21</v>
      </c>
      <c r="E19" s="9" t="s">
        <v>47</v>
      </c>
      <c r="F19" s="9" t="s">
        <v>272</v>
      </c>
      <c r="G19" s="55" t="s">
        <v>23</v>
      </c>
      <c r="H19" s="19">
        <v>123026</v>
      </c>
      <c r="I19" s="47" t="s">
        <v>48</v>
      </c>
      <c r="J19" s="9" t="s">
        <v>35</v>
      </c>
      <c r="K19" s="48" t="s">
        <v>30</v>
      </c>
      <c r="L19" s="20">
        <v>7441349</v>
      </c>
      <c r="M19" s="20">
        <v>4377265</v>
      </c>
      <c r="N19" s="20">
        <v>0</v>
      </c>
      <c r="O19" s="18">
        <v>6</v>
      </c>
      <c r="P19" s="18">
        <v>30</v>
      </c>
      <c r="Q19" s="20">
        <v>875453</v>
      </c>
      <c r="R19" s="46"/>
      <c r="S19" s="20">
        <v>875453</v>
      </c>
      <c r="T19" s="20">
        <v>2188631</v>
      </c>
    </row>
    <row r="20" spans="2:20" x14ac:dyDescent="0.25">
      <c r="B20" s="45">
        <v>11</v>
      </c>
      <c r="C20" s="9">
        <v>1111481946</v>
      </c>
      <c r="D20" s="9" t="s">
        <v>21</v>
      </c>
      <c r="E20" s="9" t="s">
        <v>49</v>
      </c>
      <c r="F20" s="9" t="s">
        <v>272</v>
      </c>
      <c r="G20" s="55" t="s">
        <v>23</v>
      </c>
      <c r="H20" s="19">
        <v>193226</v>
      </c>
      <c r="I20" s="47" t="s">
        <v>50</v>
      </c>
      <c r="J20" s="9" t="s">
        <v>35</v>
      </c>
      <c r="K20" s="48" t="s">
        <v>30</v>
      </c>
      <c r="L20" s="20">
        <v>5690443</v>
      </c>
      <c r="M20" s="20">
        <v>2626359</v>
      </c>
      <c r="N20" s="20">
        <v>0</v>
      </c>
      <c r="O20" s="18">
        <v>4</v>
      </c>
      <c r="P20" s="18">
        <v>30</v>
      </c>
      <c r="Q20" s="20">
        <v>875453</v>
      </c>
      <c r="R20" s="46"/>
      <c r="S20" s="20">
        <v>875453</v>
      </c>
      <c r="T20" s="20">
        <v>2188631</v>
      </c>
    </row>
    <row r="21" spans="2:20" x14ac:dyDescent="0.25">
      <c r="B21" s="45">
        <v>12</v>
      </c>
      <c r="C21" s="9">
        <v>1109189592</v>
      </c>
      <c r="D21" s="9" t="s">
        <v>21</v>
      </c>
      <c r="E21" s="9" t="s">
        <v>51</v>
      </c>
      <c r="F21" s="9" t="s">
        <v>272</v>
      </c>
      <c r="G21" s="55" t="s">
        <v>23</v>
      </c>
      <c r="H21" s="19">
        <v>271726</v>
      </c>
      <c r="I21" s="47">
        <v>87083437488</v>
      </c>
      <c r="J21" s="9" t="s">
        <v>25</v>
      </c>
      <c r="K21" s="48" t="s">
        <v>26</v>
      </c>
      <c r="L21" s="20">
        <v>3939537</v>
      </c>
      <c r="M21" s="20">
        <v>875453</v>
      </c>
      <c r="N21" s="20">
        <v>0</v>
      </c>
      <c r="O21" s="18">
        <v>2</v>
      </c>
      <c r="P21" s="18">
        <v>30</v>
      </c>
      <c r="Q21" s="20">
        <v>875453</v>
      </c>
      <c r="R21" s="46"/>
      <c r="S21" s="20">
        <v>875453</v>
      </c>
      <c r="T21" s="20">
        <v>2188631</v>
      </c>
    </row>
    <row r="22" spans="2:20" x14ac:dyDescent="0.25">
      <c r="B22" s="45">
        <v>13</v>
      </c>
      <c r="C22" s="9">
        <v>20627483</v>
      </c>
      <c r="D22" s="9" t="s">
        <v>21</v>
      </c>
      <c r="E22" s="9" t="s">
        <v>53</v>
      </c>
      <c r="F22" s="9" t="s">
        <v>272</v>
      </c>
      <c r="G22" s="55" t="s">
        <v>23</v>
      </c>
      <c r="H22" s="19">
        <v>163226</v>
      </c>
      <c r="I22" s="47" t="s">
        <v>54</v>
      </c>
      <c r="J22" s="9" t="s">
        <v>35</v>
      </c>
      <c r="K22" s="48" t="s">
        <v>30</v>
      </c>
      <c r="L22" s="20">
        <v>6565896</v>
      </c>
      <c r="M22" s="20">
        <v>3501812</v>
      </c>
      <c r="N22" s="20">
        <v>0</v>
      </c>
      <c r="O22" s="18">
        <v>5</v>
      </c>
      <c r="P22" s="18">
        <v>30</v>
      </c>
      <c r="Q22" s="20">
        <v>875453</v>
      </c>
      <c r="R22" s="46"/>
      <c r="S22" s="20">
        <v>875453</v>
      </c>
      <c r="T22" s="20">
        <v>2188631</v>
      </c>
    </row>
    <row r="23" spans="2:20" x14ac:dyDescent="0.25">
      <c r="B23" s="45">
        <v>14</v>
      </c>
      <c r="C23" s="9">
        <v>1144075169</v>
      </c>
      <c r="D23" s="9" t="s">
        <v>21</v>
      </c>
      <c r="E23" s="9" t="s">
        <v>55</v>
      </c>
      <c r="F23" s="9" t="s">
        <v>272</v>
      </c>
      <c r="G23" s="55" t="s">
        <v>23</v>
      </c>
      <c r="H23" s="19">
        <v>123226</v>
      </c>
      <c r="I23" s="47" t="s">
        <v>56</v>
      </c>
      <c r="J23" s="9" t="s">
        <v>25</v>
      </c>
      <c r="K23" s="48" t="s">
        <v>26</v>
      </c>
      <c r="L23" s="20">
        <v>7441349</v>
      </c>
      <c r="M23" s="20">
        <v>4377265</v>
      </c>
      <c r="N23" s="20">
        <v>0</v>
      </c>
      <c r="O23" s="18">
        <v>6</v>
      </c>
      <c r="P23" s="18">
        <v>30</v>
      </c>
      <c r="Q23" s="20">
        <v>875453</v>
      </c>
      <c r="R23" s="46"/>
      <c r="S23" s="20">
        <v>875453</v>
      </c>
      <c r="T23" s="20">
        <v>2188631</v>
      </c>
    </row>
    <row r="24" spans="2:20" x14ac:dyDescent="0.25">
      <c r="B24" s="45">
        <v>15</v>
      </c>
      <c r="C24" s="9">
        <v>1063564295</v>
      </c>
      <c r="D24" s="9" t="s">
        <v>21</v>
      </c>
      <c r="E24" s="9" t="s">
        <v>58</v>
      </c>
      <c r="F24" s="9" t="s">
        <v>272</v>
      </c>
      <c r="G24" s="55" t="s">
        <v>23</v>
      </c>
      <c r="H24" s="19">
        <v>271826</v>
      </c>
      <c r="I24" s="47">
        <v>87052183490</v>
      </c>
      <c r="J24" s="9" t="s">
        <v>25</v>
      </c>
      <c r="K24" s="48" t="s">
        <v>26</v>
      </c>
      <c r="L24" s="20">
        <v>3939537</v>
      </c>
      <c r="M24" s="20">
        <v>875453</v>
      </c>
      <c r="N24" s="20">
        <v>0</v>
      </c>
      <c r="O24" s="18">
        <v>2</v>
      </c>
      <c r="P24" s="18">
        <v>30</v>
      </c>
      <c r="Q24" s="20">
        <v>875453</v>
      </c>
      <c r="R24" s="46"/>
      <c r="S24" s="20">
        <v>875453</v>
      </c>
      <c r="T24" s="20">
        <v>2188631</v>
      </c>
    </row>
    <row r="25" spans="2:20" x14ac:dyDescent="0.25">
      <c r="B25" s="45">
        <v>16</v>
      </c>
      <c r="C25" s="9">
        <v>1087803295</v>
      </c>
      <c r="D25" s="9" t="s">
        <v>21</v>
      </c>
      <c r="E25" s="9" t="s">
        <v>59</v>
      </c>
      <c r="F25" s="9" t="s">
        <v>272</v>
      </c>
      <c r="G25" s="55" t="s">
        <v>23</v>
      </c>
      <c r="H25" s="19">
        <v>193326</v>
      </c>
      <c r="I25" s="47" t="s">
        <v>60</v>
      </c>
      <c r="J25" s="9" t="s">
        <v>25</v>
      </c>
      <c r="K25" s="48" t="s">
        <v>26</v>
      </c>
      <c r="L25" s="20">
        <v>5690443</v>
      </c>
      <c r="M25" s="20">
        <v>2626359</v>
      </c>
      <c r="N25" s="20">
        <v>0</v>
      </c>
      <c r="O25" s="18">
        <v>4</v>
      </c>
      <c r="P25" s="18">
        <v>30</v>
      </c>
      <c r="Q25" s="20">
        <v>875453</v>
      </c>
      <c r="R25" s="46"/>
      <c r="S25" s="20">
        <v>875453</v>
      </c>
      <c r="T25" s="20">
        <v>2188631</v>
      </c>
    </row>
    <row r="26" spans="2:20" x14ac:dyDescent="0.25">
      <c r="B26" s="45">
        <v>17</v>
      </c>
      <c r="C26" s="9">
        <v>1111672722</v>
      </c>
      <c r="D26" s="9" t="s">
        <v>21</v>
      </c>
      <c r="E26" s="9" t="s">
        <v>61</v>
      </c>
      <c r="F26" s="9" t="s">
        <v>272</v>
      </c>
      <c r="G26" s="55" t="s">
        <v>23</v>
      </c>
      <c r="H26" s="19">
        <v>271926</v>
      </c>
      <c r="I26" s="47">
        <v>91204168143</v>
      </c>
      <c r="J26" s="9" t="s">
        <v>35</v>
      </c>
      <c r="K26" s="48" t="s">
        <v>30</v>
      </c>
      <c r="L26" s="20">
        <v>3939537</v>
      </c>
      <c r="M26" s="20">
        <v>875453</v>
      </c>
      <c r="N26" s="20">
        <v>0</v>
      </c>
      <c r="O26" s="18">
        <v>2</v>
      </c>
      <c r="P26" s="18">
        <v>30</v>
      </c>
      <c r="Q26" s="20">
        <v>875453</v>
      </c>
      <c r="R26" s="46"/>
      <c r="S26" s="20">
        <v>875453</v>
      </c>
      <c r="T26" s="20">
        <v>2188631</v>
      </c>
    </row>
    <row r="27" spans="2:20" x14ac:dyDescent="0.25">
      <c r="B27" s="45">
        <v>18</v>
      </c>
      <c r="C27" s="9">
        <v>3901244</v>
      </c>
      <c r="D27" s="9" t="s">
        <v>62</v>
      </c>
      <c r="E27" s="9" t="s">
        <v>63</v>
      </c>
      <c r="F27" s="9" t="s">
        <v>272</v>
      </c>
      <c r="G27" s="55" t="s">
        <v>23</v>
      </c>
      <c r="H27" s="19">
        <v>272026</v>
      </c>
      <c r="I27" s="47">
        <v>51487240811</v>
      </c>
      <c r="J27" s="9" t="s">
        <v>35</v>
      </c>
      <c r="K27" s="48" t="s">
        <v>30</v>
      </c>
      <c r="L27" s="20">
        <v>3939537</v>
      </c>
      <c r="M27" s="20">
        <v>875453</v>
      </c>
      <c r="N27" s="20">
        <v>0</v>
      </c>
      <c r="O27" s="18">
        <v>2</v>
      </c>
      <c r="P27" s="18">
        <v>30</v>
      </c>
      <c r="Q27" s="20">
        <v>875453</v>
      </c>
      <c r="R27" s="46"/>
      <c r="S27" s="20">
        <v>875453</v>
      </c>
      <c r="T27" s="20">
        <v>2188631</v>
      </c>
    </row>
    <row r="28" spans="2:20" x14ac:dyDescent="0.25">
      <c r="B28" s="45">
        <v>19</v>
      </c>
      <c r="C28" s="9">
        <v>1107034929</v>
      </c>
      <c r="D28" s="9" t="s">
        <v>21</v>
      </c>
      <c r="E28" s="9" t="s">
        <v>64</v>
      </c>
      <c r="F28" s="9" t="s">
        <v>272</v>
      </c>
      <c r="G28" s="55" t="s">
        <v>23</v>
      </c>
      <c r="H28" s="19">
        <v>272126</v>
      </c>
      <c r="I28" s="47">
        <v>87057548528</v>
      </c>
      <c r="J28" s="9" t="s">
        <v>25</v>
      </c>
      <c r="K28" s="48" t="s">
        <v>26</v>
      </c>
      <c r="L28" s="20">
        <v>3939537</v>
      </c>
      <c r="M28" s="20">
        <v>875453</v>
      </c>
      <c r="N28" s="20">
        <v>0</v>
      </c>
      <c r="O28" s="18">
        <v>2</v>
      </c>
      <c r="P28" s="18">
        <v>30</v>
      </c>
      <c r="Q28" s="20">
        <v>875453</v>
      </c>
      <c r="R28" s="46"/>
      <c r="S28" s="20">
        <v>875453</v>
      </c>
      <c r="T28" s="20">
        <v>2188631</v>
      </c>
    </row>
    <row r="29" spans="2:20" x14ac:dyDescent="0.25">
      <c r="B29" s="45">
        <v>20</v>
      </c>
      <c r="C29" s="9">
        <v>1111479392</v>
      </c>
      <c r="D29" s="9" t="s">
        <v>21</v>
      </c>
      <c r="E29" s="9" t="s">
        <v>65</v>
      </c>
      <c r="F29" s="9" t="s">
        <v>272</v>
      </c>
      <c r="G29" s="55" t="s">
        <v>23</v>
      </c>
      <c r="H29" s="19">
        <v>255626</v>
      </c>
      <c r="I29" s="47" t="s">
        <v>66</v>
      </c>
      <c r="J29" s="9" t="s">
        <v>25</v>
      </c>
      <c r="K29" s="48" t="s">
        <v>26</v>
      </c>
      <c r="L29" s="20">
        <v>4814990</v>
      </c>
      <c r="M29" s="20">
        <v>1750906</v>
      </c>
      <c r="N29" s="20">
        <v>0</v>
      </c>
      <c r="O29" s="18">
        <v>3</v>
      </c>
      <c r="P29" s="18">
        <v>30</v>
      </c>
      <c r="Q29" s="20">
        <v>875453</v>
      </c>
      <c r="R29" s="46"/>
      <c r="S29" s="20">
        <v>875453</v>
      </c>
      <c r="T29" s="20">
        <v>2188631</v>
      </c>
    </row>
    <row r="30" spans="2:20" x14ac:dyDescent="0.25">
      <c r="B30" s="45">
        <v>21</v>
      </c>
      <c r="C30" s="9">
        <v>1111758514</v>
      </c>
      <c r="D30" s="9" t="s">
        <v>21</v>
      </c>
      <c r="E30" s="9" t="s">
        <v>67</v>
      </c>
      <c r="F30" s="9" t="s">
        <v>272</v>
      </c>
      <c r="G30" s="55" t="s">
        <v>23</v>
      </c>
      <c r="H30" s="19">
        <v>123826</v>
      </c>
      <c r="I30" s="47" t="s">
        <v>68</v>
      </c>
      <c r="J30" s="9" t="s">
        <v>25</v>
      </c>
      <c r="K30" s="48" t="s">
        <v>26</v>
      </c>
      <c r="L30" s="20">
        <v>7441349</v>
      </c>
      <c r="M30" s="20">
        <v>4377265</v>
      </c>
      <c r="N30" s="20">
        <v>0</v>
      </c>
      <c r="O30" s="18">
        <v>6</v>
      </c>
      <c r="P30" s="18">
        <v>30</v>
      </c>
      <c r="Q30" s="20">
        <v>875453</v>
      </c>
      <c r="R30" s="46"/>
      <c r="S30" s="20">
        <v>875453</v>
      </c>
      <c r="T30" s="20">
        <v>2188631</v>
      </c>
    </row>
    <row r="31" spans="2:20" x14ac:dyDescent="0.25">
      <c r="B31" s="45">
        <v>22</v>
      </c>
      <c r="C31" s="9">
        <v>1058548493</v>
      </c>
      <c r="D31" s="9" t="s">
        <v>21</v>
      </c>
      <c r="E31" s="9" t="s">
        <v>69</v>
      </c>
      <c r="F31" s="9" t="s">
        <v>272</v>
      </c>
      <c r="G31" s="55" t="s">
        <v>23</v>
      </c>
      <c r="H31" s="19">
        <v>123926</v>
      </c>
      <c r="I31" s="47" t="s">
        <v>70</v>
      </c>
      <c r="J31" s="9" t="s">
        <v>35</v>
      </c>
      <c r="K31" s="48" t="s">
        <v>30</v>
      </c>
      <c r="L31" s="20">
        <v>7441349</v>
      </c>
      <c r="M31" s="20">
        <v>4377265</v>
      </c>
      <c r="N31" s="20">
        <v>0</v>
      </c>
      <c r="O31" s="18">
        <v>6</v>
      </c>
      <c r="P31" s="18">
        <v>30</v>
      </c>
      <c r="Q31" s="20">
        <v>875453</v>
      </c>
      <c r="R31" s="46"/>
      <c r="S31" s="20">
        <v>875453</v>
      </c>
      <c r="T31" s="20">
        <v>2188631</v>
      </c>
    </row>
    <row r="32" spans="2:20" x14ac:dyDescent="0.25">
      <c r="B32" s="45">
        <v>23</v>
      </c>
      <c r="C32" s="9">
        <v>1112045308</v>
      </c>
      <c r="D32" s="9" t="s">
        <v>21</v>
      </c>
      <c r="E32" s="9" t="s">
        <v>71</v>
      </c>
      <c r="F32" s="9" t="s">
        <v>272</v>
      </c>
      <c r="G32" s="55" t="s">
        <v>23</v>
      </c>
      <c r="H32" s="19">
        <v>193426</v>
      </c>
      <c r="I32" s="47" t="s">
        <v>72</v>
      </c>
      <c r="J32" s="9" t="s">
        <v>25</v>
      </c>
      <c r="K32" s="48" t="s">
        <v>26</v>
      </c>
      <c r="L32" s="20">
        <v>5690443</v>
      </c>
      <c r="M32" s="20">
        <v>2626359</v>
      </c>
      <c r="N32" s="20">
        <v>0</v>
      </c>
      <c r="O32" s="18">
        <v>4</v>
      </c>
      <c r="P32" s="18">
        <v>30</v>
      </c>
      <c r="Q32" s="20">
        <v>875453</v>
      </c>
      <c r="R32" s="46"/>
      <c r="S32" s="20">
        <v>875453</v>
      </c>
      <c r="T32" s="20">
        <v>2188631</v>
      </c>
    </row>
    <row r="33" spans="2:20" x14ac:dyDescent="0.25">
      <c r="B33" s="45">
        <v>24</v>
      </c>
      <c r="C33" s="9">
        <v>1111669790</v>
      </c>
      <c r="D33" s="9" t="s">
        <v>21</v>
      </c>
      <c r="E33" s="9" t="s">
        <v>73</v>
      </c>
      <c r="F33" s="9" t="s">
        <v>272</v>
      </c>
      <c r="G33" s="55" t="s">
        <v>23</v>
      </c>
      <c r="H33" s="19">
        <v>255526</v>
      </c>
      <c r="I33" s="47" t="s">
        <v>74</v>
      </c>
      <c r="J33" s="9" t="s">
        <v>35</v>
      </c>
      <c r="K33" s="48" t="s">
        <v>30</v>
      </c>
      <c r="L33" s="20">
        <v>4814990</v>
      </c>
      <c r="M33" s="20">
        <v>1750906</v>
      </c>
      <c r="N33" s="20">
        <v>0</v>
      </c>
      <c r="O33" s="18">
        <v>3</v>
      </c>
      <c r="P33" s="18">
        <v>30</v>
      </c>
      <c r="Q33" s="20">
        <v>875453</v>
      </c>
      <c r="R33" s="46"/>
      <c r="S33" s="20">
        <v>875453</v>
      </c>
      <c r="T33" s="20">
        <v>2188631</v>
      </c>
    </row>
    <row r="34" spans="2:20" x14ac:dyDescent="0.25">
      <c r="B34" s="45">
        <v>25</v>
      </c>
      <c r="C34" s="9">
        <v>1111758628</v>
      </c>
      <c r="D34" s="9" t="s">
        <v>21</v>
      </c>
      <c r="E34" s="9" t="s">
        <v>75</v>
      </c>
      <c r="F34" s="9" t="s">
        <v>272</v>
      </c>
      <c r="G34" s="55" t="s">
        <v>23</v>
      </c>
      <c r="H34" s="19">
        <v>124226</v>
      </c>
      <c r="I34" s="47" t="s">
        <v>76</v>
      </c>
      <c r="J34" s="9" t="s">
        <v>25</v>
      </c>
      <c r="K34" s="48" t="s">
        <v>26</v>
      </c>
      <c r="L34" s="20">
        <v>7441349</v>
      </c>
      <c r="M34" s="20">
        <v>4377265</v>
      </c>
      <c r="N34" s="20">
        <v>0</v>
      </c>
      <c r="O34" s="18">
        <v>5</v>
      </c>
      <c r="P34" s="18">
        <v>30</v>
      </c>
      <c r="Q34" s="20">
        <v>875453</v>
      </c>
      <c r="R34" s="46"/>
      <c r="S34" s="20">
        <v>875453</v>
      </c>
      <c r="T34" s="20">
        <v>2188631</v>
      </c>
    </row>
    <row r="35" spans="2:20" x14ac:dyDescent="0.25">
      <c r="B35" s="45">
        <v>26</v>
      </c>
      <c r="C35" s="61">
        <v>1006016784</v>
      </c>
      <c r="D35" s="9" t="s">
        <v>21</v>
      </c>
      <c r="E35" s="61" t="s">
        <v>268</v>
      </c>
      <c r="F35" s="9" t="s">
        <v>272</v>
      </c>
      <c r="G35" s="55" t="s">
        <v>23</v>
      </c>
      <c r="H35" s="19">
        <v>305426</v>
      </c>
      <c r="I35" s="47">
        <v>87054388928</v>
      </c>
      <c r="J35" s="9" t="s">
        <v>25</v>
      </c>
      <c r="K35" s="48" t="s">
        <v>26</v>
      </c>
      <c r="L35" s="20">
        <v>3064084</v>
      </c>
      <c r="M35" s="20">
        <v>0</v>
      </c>
      <c r="N35" s="20">
        <v>0</v>
      </c>
      <c r="O35" s="18">
        <v>1</v>
      </c>
      <c r="P35" s="18">
        <v>30</v>
      </c>
      <c r="Q35" s="20">
        <v>875453</v>
      </c>
      <c r="R35" s="46"/>
      <c r="S35" s="20">
        <v>875453</v>
      </c>
      <c r="T35" s="20">
        <v>2188631</v>
      </c>
    </row>
    <row r="36" spans="2:20" x14ac:dyDescent="0.25">
      <c r="B36" s="45">
        <v>27</v>
      </c>
      <c r="C36" s="9">
        <v>1108560097</v>
      </c>
      <c r="D36" s="9" t="s">
        <v>21</v>
      </c>
      <c r="E36" s="9" t="s">
        <v>77</v>
      </c>
      <c r="F36" s="9" t="s">
        <v>272</v>
      </c>
      <c r="G36" s="55" t="s">
        <v>23</v>
      </c>
      <c r="H36" s="19">
        <v>272226</v>
      </c>
      <c r="I36" s="47">
        <v>87079980280</v>
      </c>
      <c r="J36" s="9" t="s">
        <v>25</v>
      </c>
      <c r="K36" s="48" t="s">
        <v>26</v>
      </c>
      <c r="L36" s="20">
        <v>3939537</v>
      </c>
      <c r="M36" s="20">
        <v>875453</v>
      </c>
      <c r="N36" s="20">
        <v>0</v>
      </c>
      <c r="O36" s="18">
        <v>2</v>
      </c>
      <c r="P36" s="18">
        <v>30</v>
      </c>
      <c r="Q36" s="20">
        <v>875453</v>
      </c>
      <c r="R36" s="46"/>
      <c r="S36" s="20">
        <v>875453</v>
      </c>
      <c r="T36" s="20">
        <v>2188631</v>
      </c>
    </row>
    <row r="37" spans="2:20" x14ac:dyDescent="0.25">
      <c r="B37" s="45">
        <v>28</v>
      </c>
      <c r="C37" s="9">
        <v>1092644938</v>
      </c>
      <c r="D37" s="9" t="s">
        <v>21</v>
      </c>
      <c r="E37" s="9" t="s">
        <v>78</v>
      </c>
      <c r="F37" s="9" t="s">
        <v>272</v>
      </c>
      <c r="G37" s="55" t="s">
        <v>23</v>
      </c>
      <c r="H37" s="19">
        <v>272326</v>
      </c>
      <c r="I37" s="47">
        <v>91299124008</v>
      </c>
      <c r="J37" s="9" t="s">
        <v>35</v>
      </c>
      <c r="K37" s="48" t="s">
        <v>30</v>
      </c>
      <c r="L37" s="20">
        <v>3939537</v>
      </c>
      <c r="M37" s="20">
        <v>875453</v>
      </c>
      <c r="N37" s="20">
        <v>0</v>
      </c>
      <c r="O37" s="18">
        <v>2</v>
      </c>
      <c r="P37" s="18">
        <v>30</v>
      </c>
      <c r="Q37" s="20">
        <v>875453</v>
      </c>
      <c r="R37" s="46"/>
      <c r="S37" s="20">
        <v>875453</v>
      </c>
      <c r="T37" s="20">
        <v>2188631</v>
      </c>
    </row>
    <row r="38" spans="2:20" x14ac:dyDescent="0.25">
      <c r="B38" s="45">
        <v>29</v>
      </c>
      <c r="C38" s="9">
        <v>1108564672</v>
      </c>
      <c r="D38" s="9" t="s">
        <v>21</v>
      </c>
      <c r="E38" s="9" t="s">
        <v>79</v>
      </c>
      <c r="F38" s="9" t="s">
        <v>272</v>
      </c>
      <c r="G38" s="55" t="s">
        <v>23</v>
      </c>
      <c r="H38" s="19">
        <v>272426</v>
      </c>
      <c r="I38" s="47">
        <v>80712630004</v>
      </c>
      <c r="J38" s="9" t="s">
        <v>35</v>
      </c>
      <c r="K38" s="48" t="s">
        <v>30</v>
      </c>
      <c r="L38" s="20">
        <v>3939537</v>
      </c>
      <c r="M38" s="20">
        <v>875453</v>
      </c>
      <c r="N38" s="20">
        <v>0</v>
      </c>
      <c r="O38" s="18">
        <v>2</v>
      </c>
      <c r="P38" s="18">
        <v>30</v>
      </c>
      <c r="Q38" s="20">
        <v>875453</v>
      </c>
      <c r="R38" s="46"/>
      <c r="S38" s="20">
        <v>875453</v>
      </c>
      <c r="T38" s="20">
        <v>2188631</v>
      </c>
    </row>
    <row r="39" spans="2:20" x14ac:dyDescent="0.25">
      <c r="B39" s="45">
        <v>30</v>
      </c>
      <c r="C39" s="9">
        <v>1111666464</v>
      </c>
      <c r="D39" s="9" t="s">
        <v>21</v>
      </c>
      <c r="E39" s="9" t="s">
        <v>80</v>
      </c>
      <c r="F39" s="9" t="s">
        <v>272</v>
      </c>
      <c r="G39" s="55" t="s">
        <v>23</v>
      </c>
      <c r="H39" s="19">
        <v>193526</v>
      </c>
      <c r="I39" s="47" t="s">
        <v>81</v>
      </c>
      <c r="J39" s="9" t="s">
        <v>25</v>
      </c>
      <c r="K39" s="48" t="s">
        <v>26</v>
      </c>
      <c r="L39" s="20">
        <v>5690443</v>
      </c>
      <c r="M39" s="20">
        <v>2626359</v>
      </c>
      <c r="N39" s="20">
        <v>0</v>
      </c>
      <c r="O39" s="18">
        <v>4</v>
      </c>
      <c r="P39" s="18">
        <v>30</v>
      </c>
      <c r="Q39" s="20">
        <v>875453</v>
      </c>
      <c r="R39" s="46"/>
      <c r="S39" s="20">
        <v>875453</v>
      </c>
      <c r="T39" s="20">
        <v>2188631</v>
      </c>
    </row>
    <row r="40" spans="2:20" x14ac:dyDescent="0.25">
      <c r="B40" s="45">
        <v>31</v>
      </c>
      <c r="C40" s="9">
        <v>1144213150</v>
      </c>
      <c r="D40" s="9" t="s">
        <v>21</v>
      </c>
      <c r="E40" s="9" t="s">
        <v>82</v>
      </c>
      <c r="F40" s="9" t="s">
        <v>272</v>
      </c>
      <c r="G40" s="55" t="s">
        <v>23</v>
      </c>
      <c r="H40" s="19">
        <v>272526</v>
      </c>
      <c r="I40" s="47">
        <v>24126705513</v>
      </c>
      <c r="J40" s="9" t="s">
        <v>83</v>
      </c>
      <c r="K40" s="48" t="s">
        <v>30</v>
      </c>
      <c r="L40" s="20">
        <v>3939537</v>
      </c>
      <c r="M40" s="20">
        <v>875453</v>
      </c>
      <c r="N40" s="20">
        <v>0</v>
      </c>
      <c r="O40" s="18">
        <v>2</v>
      </c>
      <c r="P40" s="18">
        <v>30</v>
      </c>
      <c r="Q40" s="20">
        <v>875453</v>
      </c>
      <c r="R40" s="46"/>
      <c r="S40" s="20">
        <v>875453</v>
      </c>
      <c r="T40" s="20">
        <v>2188631</v>
      </c>
    </row>
    <row r="41" spans="2:20" x14ac:dyDescent="0.25">
      <c r="B41" s="45">
        <v>32</v>
      </c>
      <c r="C41" s="9">
        <v>1114622889</v>
      </c>
      <c r="D41" s="9" t="s">
        <v>21</v>
      </c>
      <c r="E41" s="9" t="s">
        <v>84</v>
      </c>
      <c r="F41" s="9" t="s">
        <v>272</v>
      </c>
      <c r="G41" s="55" t="s">
        <v>23</v>
      </c>
      <c r="H41" s="19">
        <v>124926</v>
      </c>
      <c r="I41" s="47" t="s">
        <v>85</v>
      </c>
      <c r="J41" s="9" t="s">
        <v>25</v>
      </c>
      <c r="K41" s="48" t="s">
        <v>30</v>
      </c>
      <c r="L41" s="20">
        <v>7441349</v>
      </c>
      <c r="M41" s="20">
        <v>4377265</v>
      </c>
      <c r="N41" s="20">
        <v>0</v>
      </c>
      <c r="O41" s="18">
        <v>6</v>
      </c>
      <c r="P41" s="18">
        <v>30</v>
      </c>
      <c r="Q41" s="20">
        <v>875453</v>
      </c>
      <c r="R41" s="46"/>
      <c r="S41" s="20">
        <v>875453</v>
      </c>
      <c r="T41" s="20">
        <v>2188631</v>
      </c>
    </row>
    <row r="42" spans="2:20" x14ac:dyDescent="0.25">
      <c r="B42" s="45">
        <v>33</v>
      </c>
      <c r="C42" s="9">
        <v>1059240235</v>
      </c>
      <c r="D42" s="9" t="s">
        <v>21</v>
      </c>
      <c r="E42" s="9" t="s">
        <v>86</v>
      </c>
      <c r="F42" s="9" t="s">
        <v>272</v>
      </c>
      <c r="G42" s="55" t="s">
        <v>23</v>
      </c>
      <c r="H42" s="19">
        <v>125026</v>
      </c>
      <c r="I42" s="47" t="s">
        <v>87</v>
      </c>
      <c r="J42" s="9" t="s">
        <v>35</v>
      </c>
      <c r="K42" s="48" t="s">
        <v>30</v>
      </c>
      <c r="L42" s="20">
        <v>7441349</v>
      </c>
      <c r="M42" s="20">
        <v>4377265</v>
      </c>
      <c r="N42" s="20">
        <v>0</v>
      </c>
      <c r="O42" s="18">
        <v>6</v>
      </c>
      <c r="P42" s="18">
        <v>30</v>
      </c>
      <c r="Q42" s="20">
        <v>875453</v>
      </c>
      <c r="R42" s="46"/>
      <c r="S42" s="20">
        <v>875453</v>
      </c>
      <c r="T42" s="20">
        <v>2188631</v>
      </c>
    </row>
    <row r="43" spans="2:20" x14ac:dyDescent="0.25">
      <c r="B43" s="45">
        <v>34</v>
      </c>
      <c r="C43" s="9">
        <v>1114893003</v>
      </c>
      <c r="D43" s="9" t="s">
        <v>33</v>
      </c>
      <c r="E43" s="9" t="s">
        <v>88</v>
      </c>
      <c r="F43" s="9" t="s">
        <v>272</v>
      </c>
      <c r="G43" s="55" t="s">
        <v>23</v>
      </c>
      <c r="H43" s="19">
        <v>125226</v>
      </c>
      <c r="I43" s="47" t="s">
        <v>89</v>
      </c>
      <c r="J43" s="9" t="s">
        <v>25</v>
      </c>
      <c r="K43" s="48" t="s">
        <v>26</v>
      </c>
      <c r="L43" s="20">
        <v>7441349</v>
      </c>
      <c r="M43" s="20">
        <v>4377265</v>
      </c>
      <c r="N43" s="20">
        <v>0</v>
      </c>
      <c r="O43" s="18">
        <v>6</v>
      </c>
      <c r="P43" s="18">
        <v>30</v>
      </c>
      <c r="Q43" s="20">
        <v>875453</v>
      </c>
      <c r="R43" s="46"/>
      <c r="S43" s="20">
        <v>875453</v>
      </c>
      <c r="T43" s="20">
        <v>2188631</v>
      </c>
    </row>
    <row r="44" spans="2:20" x14ac:dyDescent="0.25">
      <c r="B44" s="45">
        <v>35</v>
      </c>
      <c r="C44" s="9">
        <v>1080836965</v>
      </c>
      <c r="D44" s="9" t="s">
        <v>21</v>
      </c>
      <c r="E44" s="9" t="s">
        <v>90</v>
      </c>
      <c r="F44" s="9" t="s">
        <v>272</v>
      </c>
      <c r="G44" s="55" t="s">
        <v>23</v>
      </c>
      <c r="H44" s="19">
        <v>125326</v>
      </c>
      <c r="I44" s="47" t="s">
        <v>91</v>
      </c>
      <c r="J44" s="9" t="s">
        <v>35</v>
      </c>
      <c r="K44" s="48" t="s">
        <v>30</v>
      </c>
      <c r="L44" s="20">
        <v>7441349</v>
      </c>
      <c r="M44" s="20">
        <v>4377265</v>
      </c>
      <c r="N44" s="20">
        <v>0</v>
      </c>
      <c r="O44" s="18">
        <v>6</v>
      </c>
      <c r="P44" s="18">
        <v>30</v>
      </c>
      <c r="Q44" s="20">
        <v>875453</v>
      </c>
      <c r="R44" s="46"/>
      <c r="S44" s="20">
        <v>875453</v>
      </c>
      <c r="T44" s="20">
        <v>2188631</v>
      </c>
    </row>
    <row r="45" spans="2:20" x14ac:dyDescent="0.25">
      <c r="B45" s="45">
        <v>36</v>
      </c>
      <c r="C45" s="9">
        <v>1069734669</v>
      </c>
      <c r="D45" s="9" t="s">
        <v>21</v>
      </c>
      <c r="E45" s="9" t="s">
        <v>92</v>
      </c>
      <c r="F45" s="9" t="s">
        <v>272</v>
      </c>
      <c r="G45" s="55" t="s">
        <v>23</v>
      </c>
      <c r="H45" s="19">
        <v>272626</v>
      </c>
      <c r="I45" s="47">
        <v>26426563184</v>
      </c>
      <c r="J45" s="9" t="s">
        <v>35</v>
      </c>
      <c r="K45" s="48" t="s">
        <v>30</v>
      </c>
      <c r="L45" s="20">
        <v>3939537</v>
      </c>
      <c r="M45" s="20">
        <v>875453</v>
      </c>
      <c r="N45" s="20">
        <v>0</v>
      </c>
      <c r="O45" s="18">
        <v>2</v>
      </c>
      <c r="P45" s="18">
        <v>30</v>
      </c>
      <c r="Q45" s="20">
        <v>875453</v>
      </c>
      <c r="R45" s="46"/>
      <c r="S45" s="20">
        <v>875453</v>
      </c>
      <c r="T45" s="20">
        <v>2188631</v>
      </c>
    </row>
    <row r="46" spans="2:20" x14ac:dyDescent="0.25">
      <c r="B46" s="45">
        <v>37</v>
      </c>
      <c r="C46" s="9">
        <v>6102629</v>
      </c>
      <c r="D46" s="9" t="s">
        <v>21</v>
      </c>
      <c r="E46" s="9" t="s">
        <v>93</v>
      </c>
      <c r="F46" s="9" t="s">
        <v>272</v>
      </c>
      <c r="G46" s="55" t="s">
        <v>23</v>
      </c>
      <c r="H46" s="19">
        <v>125426</v>
      </c>
      <c r="I46" s="47" t="s">
        <v>94</v>
      </c>
      <c r="J46" s="9" t="s">
        <v>25</v>
      </c>
      <c r="K46" s="48" t="s">
        <v>26</v>
      </c>
      <c r="L46" s="20">
        <v>7441349</v>
      </c>
      <c r="M46" s="20">
        <v>4377265</v>
      </c>
      <c r="N46" s="20">
        <v>0</v>
      </c>
      <c r="O46" s="18">
        <v>6</v>
      </c>
      <c r="P46" s="18">
        <v>30</v>
      </c>
      <c r="Q46" s="20">
        <v>875453</v>
      </c>
      <c r="R46" s="46"/>
      <c r="S46" s="20">
        <v>875453</v>
      </c>
      <c r="T46" s="20">
        <v>2188631</v>
      </c>
    </row>
    <row r="47" spans="2:20" x14ac:dyDescent="0.25">
      <c r="B47" s="45">
        <v>38</v>
      </c>
      <c r="C47" s="9">
        <v>1109117577</v>
      </c>
      <c r="D47" s="9" t="s">
        <v>21</v>
      </c>
      <c r="E47" s="9" t="s">
        <v>95</v>
      </c>
      <c r="F47" s="9" t="s">
        <v>272</v>
      </c>
      <c r="G47" s="55" t="s">
        <v>23</v>
      </c>
      <c r="H47" s="19">
        <v>163426</v>
      </c>
      <c r="I47" s="47" t="s">
        <v>96</v>
      </c>
      <c r="J47" s="9" t="s">
        <v>25</v>
      </c>
      <c r="K47" s="48" t="s">
        <v>26</v>
      </c>
      <c r="L47" s="20">
        <v>6565896</v>
      </c>
      <c r="M47" s="20">
        <v>3501812</v>
      </c>
      <c r="N47" s="20">
        <v>0</v>
      </c>
      <c r="O47" s="18">
        <v>5</v>
      </c>
      <c r="P47" s="18">
        <v>30</v>
      </c>
      <c r="Q47" s="20">
        <v>875453</v>
      </c>
      <c r="R47" s="46"/>
      <c r="S47" s="20">
        <v>875453</v>
      </c>
      <c r="T47" s="20">
        <v>2188631</v>
      </c>
    </row>
    <row r="48" spans="2:20" x14ac:dyDescent="0.25">
      <c r="B48" s="45">
        <v>39</v>
      </c>
      <c r="C48" s="9">
        <v>24398364</v>
      </c>
      <c r="D48" s="9" t="s">
        <v>21</v>
      </c>
      <c r="E48" s="9" t="s">
        <v>97</v>
      </c>
      <c r="F48" s="9" t="s">
        <v>272</v>
      </c>
      <c r="G48" s="55" t="s">
        <v>23</v>
      </c>
      <c r="H48" s="19">
        <v>125626</v>
      </c>
      <c r="I48" s="47" t="s">
        <v>98</v>
      </c>
      <c r="J48" s="9" t="s">
        <v>83</v>
      </c>
      <c r="K48" s="48" t="s">
        <v>30</v>
      </c>
      <c r="L48" s="20">
        <v>7441349</v>
      </c>
      <c r="M48" s="20">
        <v>4377265</v>
      </c>
      <c r="N48" s="20">
        <v>0</v>
      </c>
      <c r="O48" s="18">
        <v>6</v>
      </c>
      <c r="P48" s="18">
        <v>30</v>
      </c>
      <c r="Q48" s="20">
        <v>875453</v>
      </c>
      <c r="R48" s="46"/>
      <c r="S48" s="20">
        <v>875453</v>
      </c>
      <c r="T48" s="20">
        <v>2188631</v>
      </c>
    </row>
    <row r="49" spans="2:20" x14ac:dyDescent="0.25">
      <c r="B49" s="45">
        <v>40</v>
      </c>
      <c r="C49" s="9">
        <v>1104820533</v>
      </c>
      <c r="D49" s="9" t="s">
        <v>33</v>
      </c>
      <c r="E49" s="9" t="s">
        <v>99</v>
      </c>
      <c r="F49" s="9" t="s">
        <v>272</v>
      </c>
      <c r="G49" s="55" t="s">
        <v>23</v>
      </c>
      <c r="H49" s="19">
        <v>125726</v>
      </c>
      <c r="I49" s="47" t="s">
        <v>100</v>
      </c>
      <c r="J49" s="9" t="s">
        <v>35</v>
      </c>
      <c r="K49" s="48" t="s">
        <v>30</v>
      </c>
      <c r="L49" s="20">
        <v>7441349</v>
      </c>
      <c r="M49" s="20">
        <v>4377265</v>
      </c>
      <c r="N49" s="20">
        <v>0</v>
      </c>
      <c r="O49" s="18">
        <v>6</v>
      </c>
      <c r="P49" s="18">
        <v>30</v>
      </c>
      <c r="Q49" s="20">
        <v>875453</v>
      </c>
      <c r="R49" s="46"/>
      <c r="S49" s="20">
        <v>875453</v>
      </c>
      <c r="T49" s="20">
        <v>2188631</v>
      </c>
    </row>
    <row r="50" spans="2:20" x14ac:dyDescent="0.25">
      <c r="B50" s="45">
        <v>41</v>
      </c>
      <c r="C50" s="9">
        <v>1112046451</v>
      </c>
      <c r="D50" s="9" t="s">
        <v>21</v>
      </c>
      <c r="E50" s="9" t="s">
        <v>101</v>
      </c>
      <c r="F50" s="9" t="s">
        <v>272</v>
      </c>
      <c r="G50" s="55" t="s">
        <v>23</v>
      </c>
      <c r="H50" s="19">
        <v>255826</v>
      </c>
      <c r="I50" s="47" t="s">
        <v>102</v>
      </c>
      <c r="J50" s="9" t="s">
        <v>37</v>
      </c>
      <c r="K50" s="48" t="s">
        <v>30</v>
      </c>
      <c r="L50" s="20">
        <v>4814990</v>
      </c>
      <c r="M50" s="20">
        <v>1750906</v>
      </c>
      <c r="N50" s="20">
        <v>0</v>
      </c>
      <c r="O50" s="18">
        <v>3</v>
      </c>
      <c r="P50" s="18">
        <v>30</v>
      </c>
      <c r="Q50" s="20">
        <v>875453</v>
      </c>
      <c r="R50" s="46"/>
      <c r="S50" s="20">
        <v>875453</v>
      </c>
      <c r="T50" s="20">
        <v>2188631</v>
      </c>
    </row>
    <row r="51" spans="2:20" x14ac:dyDescent="0.25">
      <c r="B51" s="45">
        <v>42</v>
      </c>
      <c r="C51" s="9">
        <v>1150936518</v>
      </c>
      <c r="D51" s="9" t="s">
        <v>21</v>
      </c>
      <c r="E51" s="9" t="s">
        <v>103</v>
      </c>
      <c r="F51" s="9" t="s">
        <v>272</v>
      </c>
      <c r="G51" s="55" t="s">
        <v>23</v>
      </c>
      <c r="H51" s="19">
        <v>125826</v>
      </c>
      <c r="I51" s="47" t="s">
        <v>104</v>
      </c>
      <c r="J51" s="9" t="s">
        <v>25</v>
      </c>
      <c r="K51" s="48" t="s">
        <v>26</v>
      </c>
      <c r="L51" s="20">
        <v>7441349</v>
      </c>
      <c r="M51" s="20">
        <v>4377265</v>
      </c>
      <c r="N51" s="20">
        <v>0</v>
      </c>
      <c r="O51" s="18">
        <v>6</v>
      </c>
      <c r="P51" s="18">
        <v>30</v>
      </c>
      <c r="Q51" s="20">
        <v>875453</v>
      </c>
      <c r="R51" s="46"/>
      <c r="S51" s="20">
        <v>875453</v>
      </c>
      <c r="T51" s="20">
        <v>2188631</v>
      </c>
    </row>
    <row r="52" spans="2:20" x14ac:dyDescent="0.25">
      <c r="B52" s="45">
        <v>43</v>
      </c>
      <c r="C52" s="61">
        <v>1110044405</v>
      </c>
      <c r="D52" s="9" t="s">
        <v>21</v>
      </c>
      <c r="E52" s="61" t="s">
        <v>269</v>
      </c>
      <c r="F52" s="9" t="s">
        <v>272</v>
      </c>
      <c r="G52" s="55" t="s">
        <v>23</v>
      </c>
      <c r="H52" s="19">
        <v>305526</v>
      </c>
      <c r="I52" s="47">
        <v>74171437150</v>
      </c>
      <c r="J52" s="9" t="s">
        <v>35</v>
      </c>
      <c r="K52" s="48" t="s">
        <v>30</v>
      </c>
      <c r="L52" s="20">
        <v>3064084</v>
      </c>
      <c r="M52" s="20">
        <v>0</v>
      </c>
      <c r="N52" s="20">
        <v>0</v>
      </c>
      <c r="O52" s="18">
        <v>1</v>
      </c>
      <c r="P52" s="18">
        <v>30</v>
      </c>
      <c r="Q52" s="20">
        <v>875453</v>
      </c>
      <c r="R52" s="46"/>
      <c r="S52" s="20">
        <v>875453</v>
      </c>
      <c r="T52" s="20">
        <v>2188631</v>
      </c>
    </row>
    <row r="53" spans="2:20" x14ac:dyDescent="0.25">
      <c r="B53" s="45">
        <v>44</v>
      </c>
      <c r="C53" s="9">
        <v>1029600434</v>
      </c>
      <c r="D53" s="9" t="s">
        <v>21</v>
      </c>
      <c r="E53" s="9" t="s">
        <v>105</v>
      </c>
      <c r="F53" s="9" t="s">
        <v>272</v>
      </c>
      <c r="G53" s="55" t="s">
        <v>23</v>
      </c>
      <c r="H53" s="19">
        <v>125926</v>
      </c>
      <c r="I53" s="47" t="s">
        <v>106</v>
      </c>
      <c r="J53" s="9" t="s">
        <v>25</v>
      </c>
      <c r="K53" s="48" t="s">
        <v>26</v>
      </c>
      <c r="L53" s="20">
        <v>7441349</v>
      </c>
      <c r="M53" s="20">
        <v>4377265</v>
      </c>
      <c r="N53" s="20">
        <v>0</v>
      </c>
      <c r="O53" s="18">
        <v>6</v>
      </c>
      <c r="P53" s="18">
        <v>30</v>
      </c>
      <c r="Q53" s="20">
        <v>875453</v>
      </c>
      <c r="R53" s="46"/>
      <c r="S53" s="20">
        <v>875453</v>
      </c>
      <c r="T53" s="20">
        <v>2188631</v>
      </c>
    </row>
    <row r="54" spans="2:20" x14ac:dyDescent="0.25">
      <c r="B54" s="45">
        <v>45</v>
      </c>
      <c r="C54" s="9">
        <v>1061724775</v>
      </c>
      <c r="D54" s="9" t="s">
        <v>21</v>
      </c>
      <c r="E54" s="9" t="s">
        <v>107</v>
      </c>
      <c r="F54" s="9" t="s">
        <v>272</v>
      </c>
      <c r="G54" s="55" t="s">
        <v>23</v>
      </c>
      <c r="H54" s="19">
        <v>272726</v>
      </c>
      <c r="I54" s="47">
        <v>87062995802</v>
      </c>
      <c r="J54" s="9" t="s">
        <v>25</v>
      </c>
      <c r="K54" s="48" t="s">
        <v>26</v>
      </c>
      <c r="L54" s="20">
        <v>3939537</v>
      </c>
      <c r="M54" s="20">
        <v>875453</v>
      </c>
      <c r="N54" s="20">
        <v>0</v>
      </c>
      <c r="O54" s="18">
        <v>2</v>
      </c>
      <c r="P54" s="18">
        <v>30</v>
      </c>
      <c r="Q54" s="20">
        <v>875453</v>
      </c>
      <c r="R54" s="46"/>
      <c r="S54" s="20">
        <v>875453</v>
      </c>
      <c r="T54" s="20">
        <v>2188631</v>
      </c>
    </row>
    <row r="55" spans="2:20" x14ac:dyDescent="0.25">
      <c r="B55" s="45">
        <v>46</v>
      </c>
      <c r="C55" s="9">
        <v>1114543389</v>
      </c>
      <c r="D55" s="9" t="s">
        <v>21</v>
      </c>
      <c r="E55" s="9" t="s">
        <v>108</v>
      </c>
      <c r="F55" s="9" t="s">
        <v>272</v>
      </c>
      <c r="G55" s="55" t="s">
        <v>23</v>
      </c>
      <c r="H55" s="19">
        <v>255926</v>
      </c>
      <c r="I55" s="47" t="s">
        <v>109</v>
      </c>
      <c r="J55" s="9" t="s">
        <v>35</v>
      </c>
      <c r="K55" s="48" t="s">
        <v>30</v>
      </c>
      <c r="L55" s="20">
        <v>4814990</v>
      </c>
      <c r="M55" s="20">
        <v>1750906</v>
      </c>
      <c r="N55" s="20">
        <v>0</v>
      </c>
      <c r="O55" s="18">
        <v>3</v>
      </c>
      <c r="P55" s="18">
        <v>30</v>
      </c>
      <c r="Q55" s="20">
        <v>875453</v>
      </c>
      <c r="R55" s="46"/>
      <c r="S55" s="20">
        <v>875453</v>
      </c>
      <c r="T55" s="20">
        <v>2188631</v>
      </c>
    </row>
    <row r="56" spans="2:20" x14ac:dyDescent="0.25">
      <c r="B56" s="45">
        <v>47</v>
      </c>
      <c r="C56" s="9">
        <v>1130678533</v>
      </c>
      <c r="D56" s="9" t="s">
        <v>21</v>
      </c>
      <c r="E56" s="9" t="s">
        <v>110</v>
      </c>
      <c r="F56" s="9" t="s">
        <v>272</v>
      </c>
      <c r="G56" s="55" t="s">
        <v>23</v>
      </c>
      <c r="H56" s="19">
        <v>272826</v>
      </c>
      <c r="I56" s="47">
        <v>87042649263</v>
      </c>
      <c r="J56" s="9" t="s">
        <v>25</v>
      </c>
      <c r="K56" s="48" t="s">
        <v>26</v>
      </c>
      <c r="L56" s="20">
        <v>3939537</v>
      </c>
      <c r="M56" s="20">
        <v>875453</v>
      </c>
      <c r="N56" s="20">
        <v>0</v>
      </c>
      <c r="O56" s="18">
        <v>2</v>
      </c>
      <c r="P56" s="18">
        <v>30</v>
      </c>
      <c r="Q56" s="20">
        <v>875453</v>
      </c>
      <c r="R56" s="46"/>
      <c r="S56" s="20">
        <v>875453</v>
      </c>
      <c r="T56" s="20">
        <v>2188631</v>
      </c>
    </row>
    <row r="57" spans="2:20" x14ac:dyDescent="0.25">
      <c r="B57" s="45">
        <v>48</v>
      </c>
      <c r="C57" s="9">
        <v>6119888</v>
      </c>
      <c r="D57" s="9" t="s">
        <v>62</v>
      </c>
      <c r="E57" s="9" t="s">
        <v>111</v>
      </c>
      <c r="F57" s="9" t="s">
        <v>272</v>
      </c>
      <c r="G57" s="55" t="s">
        <v>23</v>
      </c>
      <c r="H57" s="19">
        <v>272926</v>
      </c>
      <c r="I57" s="47">
        <v>87081916931</v>
      </c>
      <c r="J57" s="9" t="s">
        <v>25</v>
      </c>
      <c r="K57" s="48" t="s">
        <v>26</v>
      </c>
      <c r="L57" s="20">
        <v>3939537</v>
      </c>
      <c r="M57" s="20">
        <v>875453</v>
      </c>
      <c r="N57" s="20">
        <v>0</v>
      </c>
      <c r="O57" s="18">
        <v>2</v>
      </c>
      <c r="P57" s="18">
        <v>30</v>
      </c>
      <c r="Q57" s="20">
        <v>875453</v>
      </c>
      <c r="R57" s="46"/>
      <c r="S57" s="20">
        <v>875453</v>
      </c>
      <c r="T57" s="20">
        <v>2188631</v>
      </c>
    </row>
    <row r="58" spans="2:20" x14ac:dyDescent="0.25">
      <c r="B58" s="45">
        <v>49</v>
      </c>
      <c r="C58" s="61">
        <v>1063809528</v>
      </c>
      <c r="D58" s="9" t="s">
        <v>21</v>
      </c>
      <c r="E58" s="61" t="s">
        <v>270</v>
      </c>
      <c r="F58" s="9" t="s">
        <v>272</v>
      </c>
      <c r="G58" s="55" t="s">
        <v>23</v>
      </c>
      <c r="H58" s="19">
        <v>305626</v>
      </c>
      <c r="I58" s="47">
        <v>87058213922</v>
      </c>
      <c r="J58" s="9" t="s">
        <v>25</v>
      </c>
      <c r="K58" s="48" t="s">
        <v>26</v>
      </c>
      <c r="L58" s="20">
        <v>3064084</v>
      </c>
      <c r="M58" s="20">
        <v>0</v>
      </c>
      <c r="N58" s="20">
        <v>0</v>
      </c>
      <c r="O58" s="18">
        <v>1</v>
      </c>
      <c r="P58" s="18">
        <v>30</v>
      </c>
      <c r="Q58" s="20">
        <v>875453</v>
      </c>
      <c r="R58" s="46"/>
      <c r="S58" s="20">
        <v>875453</v>
      </c>
      <c r="T58" s="20">
        <v>2188631</v>
      </c>
    </row>
    <row r="59" spans="2:20" x14ac:dyDescent="0.25">
      <c r="B59" s="45">
        <v>50</v>
      </c>
      <c r="C59" s="9">
        <v>1059240939</v>
      </c>
      <c r="D59" s="9" t="s">
        <v>33</v>
      </c>
      <c r="E59" s="9" t="s">
        <v>112</v>
      </c>
      <c r="F59" s="9" t="s">
        <v>272</v>
      </c>
      <c r="G59" s="55" t="s">
        <v>23</v>
      </c>
      <c r="H59" s="19">
        <v>126226</v>
      </c>
      <c r="I59" s="47">
        <v>51490920823</v>
      </c>
      <c r="J59" s="9" t="s">
        <v>35</v>
      </c>
      <c r="K59" s="48" t="s">
        <v>30</v>
      </c>
      <c r="L59" s="20">
        <v>7441349</v>
      </c>
      <c r="M59" s="20">
        <v>4377265</v>
      </c>
      <c r="N59" s="20">
        <v>0</v>
      </c>
      <c r="O59" s="18">
        <v>6</v>
      </c>
      <c r="P59" s="18">
        <v>30</v>
      </c>
      <c r="Q59" s="20">
        <v>875453</v>
      </c>
      <c r="R59" s="46"/>
      <c r="S59" s="20">
        <v>875453</v>
      </c>
      <c r="T59" s="20">
        <v>2188631</v>
      </c>
    </row>
    <row r="60" spans="2:20" x14ac:dyDescent="0.25">
      <c r="B60" s="45">
        <v>51</v>
      </c>
      <c r="C60" s="61">
        <v>1096618613</v>
      </c>
      <c r="D60" s="9" t="s">
        <v>21</v>
      </c>
      <c r="E60" s="61" t="s">
        <v>271</v>
      </c>
      <c r="F60" s="9" t="s">
        <v>272</v>
      </c>
      <c r="G60" s="55" t="s">
        <v>23</v>
      </c>
      <c r="H60" s="19">
        <v>305726</v>
      </c>
      <c r="I60" s="47">
        <v>87052838199</v>
      </c>
      <c r="J60" s="9" t="s">
        <v>25</v>
      </c>
      <c r="K60" s="48" t="s">
        <v>26</v>
      </c>
      <c r="L60" s="20">
        <v>3064084</v>
      </c>
      <c r="M60" s="20">
        <v>0</v>
      </c>
      <c r="N60" s="20">
        <v>0</v>
      </c>
      <c r="O60" s="18">
        <v>1</v>
      </c>
      <c r="P60" s="18">
        <v>30</v>
      </c>
      <c r="Q60" s="20">
        <v>875453</v>
      </c>
      <c r="R60" s="46"/>
      <c r="S60" s="20">
        <v>875453</v>
      </c>
      <c r="T60" s="20">
        <v>2188631</v>
      </c>
    </row>
    <row r="61" spans="2:20" x14ac:dyDescent="0.25">
      <c r="B61" s="62"/>
      <c r="C61" s="63"/>
      <c r="D61" s="63"/>
      <c r="E61" s="63"/>
      <c r="F61" s="63"/>
      <c r="G61" s="63"/>
      <c r="H61" s="63"/>
      <c r="I61" s="63"/>
      <c r="J61" s="63"/>
      <c r="K61" s="64"/>
      <c r="L61" s="21">
        <f>SUM(L10:L60)</f>
        <v>277080798</v>
      </c>
      <c r="M61" s="21">
        <f>SUM(M10:M60)</f>
        <v>120812514</v>
      </c>
      <c r="N61" s="65"/>
      <c r="O61" s="66"/>
      <c r="P61" s="67"/>
      <c r="Q61" s="21"/>
      <c r="R61" s="17"/>
      <c r="S61" s="21">
        <f>SUM(S10:S60)</f>
        <v>44648103</v>
      </c>
      <c r="T61" s="22">
        <f>SUM(T10:T60)</f>
        <v>111620181</v>
      </c>
    </row>
    <row r="62" spans="2:20" x14ac:dyDescent="0.2">
      <c r="B62" s="84" t="s">
        <v>113</v>
      </c>
      <c r="C62" s="85"/>
      <c r="D62" s="85"/>
      <c r="E62" s="86"/>
      <c r="F62" s="84" t="s">
        <v>114</v>
      </c>
      <c r="G62" s="85"/>
      <c r="H62" s="85"/>
      <c r="I62" s="80" t="s">
        <v>115</v>
      </c>
      <c r="J62" s="80"/>
      <c r="K62" s="80"/>
      <c r="L62" s="80"/>
      <c r="M62" s="87" t="s">
        <v>264</v>
      </c>
      <c r="N62" s="87"/>
      <c r="O62" s="87"/>
      <c r="P62" s="87"/>
      <c r="Q62" s="87"/>
      <c r="R62" s="87"/>
      <c r="S62" s="87"/>
      <c r="T62" s="87"/>
    </row>
    <row r="63" spans="2:20" x14ac:dyDescent="0.25">
      <c r="B63" s="82" t="s">
        <v>116</v>
      </c>
      <c r="C63" s="82"/>
      <c r="D63" s="82"/>
      <c r="E63" s="82"/>
      <c r="F63" s="82" t="s">
        <v>117</v>
      </c>
      <c r="G63" s="82"/>
      <c r="H63" s="82"/>
      <c r="I63" s="83" t="s">
        <v>118</v>
      </c>
      <c r="J63" s="83"/>
      <c r="K63" s="83"/>
      <c r="L63" s="83"/>
      <c r="M63" s="82" t="s">
        <v>119</v>
      </c>
      <c r="N63" s="82"/>
      <c r="O63" s="82"/>
      <c r="P63" s="82"/>
      <c r="Q63" s="82"/>
      <c r="R63" s="82"/>
      <c r="S63" s="82"/>
      <c r="T63" s="82"/>
    </row>
    <row r="64" spans="2:20" x14ac:dyDescent="0.25">
      <c r="B64" s="82"/>
      <c r="C64" s="82"/>
      <c r="D64" s="82"/>
      <c r="E64" s="82"/>
      <c r="F64" s="82"/>
      <c r="G64" s="82"/>
      <c r="H64" s="82"/>
      <c r="I64" s="83"/>
      <c r="J64" s="83"/>
      <c r="K64" s="83"/>
      <c r="L64" s="83"/>
      <c r="M64" s="82"/>
      <c r="N64" s="82"/>
      <c r="O64" s="82"/>
      <c r="P64" s="82"/>
      <c r="Q64" s="82"/>
      <c r="R64" s="82"/>
      <c r="S64" s="82"/>
      <c r="T64" s="82"/>
    </row>
    <row r="65" spans="2:20" x14ac:dyDescent="0.25">
      <c r="B65" s="82"/>
      <c r="C65" s="82"/>
      <c r="D65" s="82"/>
      <c r="E65" s="82"/>
      <c r="F65" s="82"/>
      <c r="G65" s="82"/>
      <c r="H65" s="82"/>
      <c r="I65" s="83"/>
      <c r="J65" s="83"/>
      <c r="K65" s="83"/>
      <c r="L65" s="83"/>
      <c r="M65" s="82"/>
      <c r="N65" s="82"/>
      <c r="O65" s="82"/>
      <c r="P65" s="82"/>
      <c r="Q65" s="82"/>
      <c r="R65" s="82"/>
      <c r="S65" s="82"/>
      <c r="T65" s="82"/>
    </row>
    <row r="66" spans="2:20" x14ac:dyDescent="0.25">
      <c r="B66" s="82"/>
      <c r="C66" s="82"/>
      <c r="D66" s="82"/>
      <c r="E66" s="82"/>
      <c r="F66" s="82"/>
      <c r="G66" s="82"/>
      <c r="H66" s="82"/>
      <c r="I66" s="83"/>
      <c r="J66" s="83"/>
      <c r="K66" s="83"/>
      <c r="L66" s="83"/>
      <c r="M66" s="82"/>
      <c r="N66" s="82"/>
      <c r="O66" s="82"/>
      <c r="P66" s="82"/>
      <c r="Q66" s="82"/>
      <c r="R66" s="82"/>
      <c r="S66" s="82"/>
      <c r="T66" s="82"/>
    </row>
    <row r="67" spans="2:20" x14ac:dyDescent="0.25">
      <c r="B67" s="81" t="s">
        <v>120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</row>
    <row r="68" spans="2:20" x14ac:dyDescent="0.25"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</row>
    <row r="70" spans="2:20" x14ac:dyDescent="0.25">
      <c r="K70" s="50"/>
    </row>
  </sheetData>
  <mergeCells count="30">
    <mergeCell ref="Q8:Q9"/>
    <mergeCell ref="R8:R9"/>
    <mergeCell ref="S8:S9"/>
    <mergeCell ref="T8:T9"/>
    <mergeCell ref="H8:H9"/>
    <mergeCell ref="I62:L62"/>
    <mergeCell ref="B67:T68"/>
    <mergeCell ref="M63:T66"/>
    <mergeCell ref="I63:L66"/>
    <mergeCell ref="F63:H66"/>
    <mergeCell ref="F62:H62"/>
    <mergeCell ref="B62:E62"/>
    <mergeCell ref="B63:E66"/>
    <mergeCell ref="M62:T62"/>
    <mergeCell ref="B61:K61"/>
    <mergeCell ref="N61:P61"/>
    <mergeCell ref="B8:B9"/>
    <mergeCell ref="C8:C9"/>
    <mergeCell ref="D8:D9"/>
    <mergeCell ref="E8:E9"/>
    <mergeCell ref="G8:G9"/>
    <mergeCell ref="J8:J9"/>
    <mergeCell ref="I8:I9"/>
    <mergeCell ref="K8:K9"/>
    <mergeCell ref="L8:L9"/>
    <mergeCell ref="F8:F9"/>
    <mergeCell ref="M8:M9"/>
    <mergeCell ref="N8:N9"/>
    <mergeCell ref="O8:O9"/>
    <mergeCell ref="P8:P9"/>
  </mergeCells>
  <phoneticPr fontId="9" type="noConversion"/>
  <conditionalFormatting sqref="C12:C13">
    <cfRule type="duplicateValues" dxfId="48" priority="32"/>
    <cfRule type="duplicateValues" dxfId="47" priority="31"/>
  </conditionalFormatting>
  <conditionalFormatting sqref="C14">
    <cfRule type="duplicateValues" dxfId="46" priority="53"/>
    <cfRule type="duplicateValues" dxfId="45" priority="54"/>
  </conditionalFormatting>
  <conditionalFormatting sqref="C15">
    <cfRule type="duplicateValues" dxfId="44" priority="30"/>
    <cfRule type="duplicateValues" dxfId="43" priority="29"/>
  </conditionalFormatting>
  <conditionalFormatting sqref="C20">
    <cfRule type="duplicateValues" dxfId="42" priority="51"/>
    <cfRule type="duplicateValues" dxfId="41" priority="52"/>
  </conditionalFormatting>
  <conditionalFormatting sqref="C21">
    <cfRule type="duplicateValues" dxfId="40" priority="28"/>
    <cfRule type="duplicateValues" dxfId="39" priority="27"/>
  </conditionalFormatting>
  <conditionalFormatting sqref="C24">
    <cfRule type="duplicateValues" dxfId="38" priority="26"/>
    <cfRule type="duplicateValues" dxfId="37" priority="25"/>
  </conditionalFormatting>
  <conditionalFormatting sqref="C25">
    <cfRule type="duplicateValues" dxfId="36" priority="47"/>
    <cfRule type="duplicateValues" dxfId="35" priority="48"/>
  </conditionalFormatting>
  <conditionalFormatting sqref="C26:C27">
    <cfRule type="duplicateValues" dxfId="34" priority="23"/>
    <cfRule type="duplicateValues" dxfId="33" priority="24"/>
  </conditionalFormatting>
  <conditionalFormatting sqref="C28">
    <cfRule type="duplicateValues" dxfId="32" priority="21"/>
    <cfRule type="duplicateValues" dxfId="31" priority="22"/>
  </conditionalFormatting>
  <conditionalFormatting sqref="C32:C33">
    <cfRule type="duplicateValues" dxfId="30" priority="46"/>
    <cfRule type="duplicateValues" dxfId="29" priority="45"/>
  </conditionalFormatting>
  <conditionalFormatting sqref="C36:C37">
    <cfRule type="duplicateValues" dxfId="28" priority="19"/>
    <cfRule type="duplicateValues" dxfId="27" priority="20"/>
  </conditionalFormatting>
  <conditionalFormatting sqref="C36:C51 C17:C34 C1 C3:C15 C53:C57 C59 C61:C1048576">
    <cfRule type="duplicateValues" dxfId="26" priority="3"/>
    <cfRule type="duplicateValues" dxfId="25" priority="4"/>
    <cfRule type="duplicateValues" dxfId="24" priority="5"/>
  </conditionalFormatting>
  <conditionalFormatting sqref="C38">
    <cfRule type="duplicateValues" dxfId="23" priority="17"/>
    <cfRule type="duplicateValues" dxfId="22" priority="18"/>
  </conditionalFormatting>
  <conditionalFormatting sqref="C39">
    <cfRule type="duplicateValues" dxfId="21" priority="44"/>
    <cfRule type="duplicateValues" dxfId="20" priority="43"/>
  </conditionalFormatting>
  <conditionalFormatting sqref="C40">
    <cfRule type="duplicateValues" dxfId="19" priority="16"/>
    <cfRule type="duplicateValues" dxfId="18" priority="15"/>
  </conditionalFormatting>
  <conditionalFormatting sqref="C45">
    <cfRule type="duplicateValues" dxfId="17" priority="12"/>
    <cfRule type="duplicateValues" dxfId="16" priority="11"/>
  </conditionalFormatting>
  <conditionalFormatting sqref="C54">
    <cfRule type="duplicateValues" dxfId="15" priority="14"/>
    <cfRule type="duplicateValues" dxfId="14" priority="13"/>
  </conditionalFormatting>
  <conditionalFormatting sqref="C56">
    <cfRule type="duplicateValues" dxfId="13" priority="9"/>
    <cfRule type="duplicateValues" dxfId="12" priority="10"/>
  </conditionalFormatting>
  <conditionalFormatting sqref="C57">
    <cfRule type="duplicateValues" dxfId="11" priority="8"/>
    <cfRule type="duplicateValues" dxfId="10" priority="7"/>
  </conditionalFormatting>
  <conditionalFormatting sqref="C36:E51 C17:E34 C10:E15 D16 D35 C53:E57 D52 D58 C59:E59 D60">
    <cfRule type="duplicateValues" dxfId="9" priority="252"/>
    <cfRule type="duplicateValues" dxfId="8" priority="253"/>
  </conditionalFormatting>
  <conditionalFormatting sqref="D1:D1048576">
    <cfRule type="duplicateValues" dxfId="7" priority="6"/>
  </conditionalFormatting>
  <conditionalFormatting sqref="D67:D1048576 D1:D3 D7:D9 C4:C6">
    <cfRule type="duplicateValues" dxfId="6" priority="71"/>
  </conditionalFormatting>
  <conditionalFormatting sqref="E59 E55 E46:E51 E39 E29:E34 E22:E23 E14 E10:E11 E25 E41:E44 E17:E20 E53 G10:G60">
    <cfRule type="duplicateValues" dxfId="5" priority="278"/>
    <cfRule type="duplicateValues" dxfId="4" priority="277"/>
  </conditionalFormatting>
  <conditionalFormatting sqref="G1:G3 F4:F6 G7:G1048576">
    <cfRule type="duplicateValues" dxfId="3" priority="61"/>
  </conditionalFormatting>
  <conditionalFormatting sqref="G60:H1048576 G1:H3 G7:H7 F4:G6 G8:G60 H10:H59">
    <cfRule type="duplicateValues" dxfId="2" priority="66"/>
  </conditionalFormatting>
  <conditionalFormatting sqref="G67:H1048576 G1:H3 G7:H7 F4:G6 G60:H60 G8:G60 H10:H59">
    <cfRule type="duplicateValues" dxfId="1" priority="193"/>
  </conditionalFormatting>
  <pageMargins left="0.25" right="0.25" top="0.75" bottom="0.75" header="0.3" footer="0.3"/>
  <pageSetup paperSize="14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8FF9-FA1D-4B39-B327-6A1CDCD279DD}">
  <dimension ref="E5:K56"/>
  <sheetViews>
    <sheetView workbookViewId="0">
      <selection activeCell="H44" sqref="H44"/>
    </sheetView>
  </sheetViews>
  <sheetFormatPr baseColWidth="10" defaultColWidth="11.42578125" defaultRowHeight="15" x14ac:dyDescent="0.25"/>
  <cols>
    <col min="5" max="5" width="3.42578125" bestFit="1" customWidth="1"/>
    <col min="6" max="6" width="29.42578125" bestFit="1" customWidth="1"/>
  </cols>
  <sheetData>
    <row r="5" spans="5:11" ht="22.5" x14ac:dyDescent="0.25">
      <c r="E5" s="52" t="s">
        <v>121</v>
      </c>
      <c r="F5" s="52" t="s">
        <v>122</v>
      </c>
      <c r="G5" s="52" t="s">
        <v>123</v>
      </c>
      <c r="H5" s="52" t="s">
        <v>124</v>
      </c>
      <c r="I5" s="52" t="s">
        <v>125</v>
      </c>
      <c r="J5" s="52" t="s">
        <v>126</v>
      </c>
      <c r="K5" s="52" t="s">
        <v>127</v>
      </c>
    </row>
    <row r="6" spans="5:11" x14ac:dyDescent="0.25">
      <c r="E6" s="53">
        <v>1</v>
      </c>
      <c r="F6" s="53" t="s">
        <v>22</v>
      </c>
      <c r="G6" s="53" t="s">
        <v>21</v>
      </c>
      <c r="H6" s="53">
        <v>1061531645</v>
      </c>
      <c r="I6" s="53" t="s">
        <v>128</v>
      </c>
      <c r="J6" s="53">
        <v>3173455</v>
      </c>
      <c r="K6" s="54">
        <v>45776</v>
      </c>
    </row>
    <row r="7" spans="5:11" x14ac:dyDescent="0.25">
      <c r="E7" s="53">
        <v>2</v>
      </c>
      <c r="F7" s="53" t="s">
        <v>27</v>
      </c>
      <c r="G7" s="53" t="s">
        <v>21</v>
      </c>
      <c r="H7" s="53">
        <v>1147955081</v>
      </c>
      <c r="I7" s="53" t="s">
        <v>128</v>
      </c>
      <c r="J7" s="53">
        <v>3228049</v>
      </c>
      <c r="K7" s="54">
        <v>45796</v>
      </c>
    </row>
    <row r="8" spans="5:11" x14ac:dyDescent="0.25">
      <c r="E8" s="53">
        <v>3</v>
      </c>
      <c r="F8" s="53" t="s">
        <v>129</v>
      </c>
      <c r="G8" s="53" t="s">
        <v>21</v>
      </c>
      <c r="H8" s="53">
        <v>1110044282</v>
      </c>
      <c r="I8" s="53" t="s">
        <v>130</v>
      </c>
      <c r="J8" s="53" t="s">
        <v>131</v>
      </c>
      <c r="K8" s="54" t="s">
        <v>132</v>
      </c>
    </row>
    <row r="9" spans="5:11" x14ac:dyDescent="0.25">
      <c r="E9" s="53">
        <v>4</v>
      </c>
      <c r="F9" s="53" t="s">
        <v>31</v>
      </c>
      <c r="G9" s="53" t="s">
        <v>21</v>
      </c>
      <c r="H9" s="53">
        <v>1004345458</v>
      </c>
      <c r="I9" s="53" t="s">
        <v>133</v>
      </c>
      <c r="J9" s="53">
        <v>3118266</v>
      </c>
      <c r="K9" s="54">
        <v>45614</v>
      </c>
    </row>
    <row r="10" spans="5:11" x14ac:dyDescent="0.25">
      <c r="E10" s="53">
        <v>5</v>
      </c>
      <c r="F10" s="53" t="s">
        <v>134</v>
      </c>
      <c r="G10" s="53" t="s">
        <v>21</v>
      </c>
      <c r="H10" s="53">
        <v>1086299870</v>
      </c>
      <c r="I10" s="53" t="s">
        <v>128</v>
      </c>
      <c r="J10" s="53">
        <v>3142275</v>
      </c>
      <c r="K10" s="54">
        <v>45698</v>
      </c>
    </row>
    <row r="11" spans="5:11" x14ac:dyDescent="0.25">
      <c r="E11" s="53">
        <v>6</v>
      </c>
      <c r="F11" s="53" t="s">
        <v>38</v>
      </c>
      <c r="G11" s="53" t="s">
        <v>21</v>
      </c>
      <c r="H11" s="53">
        <v>1111667242</v>
      </c>
      <c r="I11" s="53" t="s">
        <v>135</v>
      </c>
      <c r="J11" s="53" t="s">
        <v>136</v>
      </c>
      <c r="K11" s="54" t="s">
        <v>137</v>
      </c>
    </row>
    <row r="12" spans="5:11" x14ac:dyDescent="0.25">
      <c r="E12" s="53">
        <v>7</v>
      </c>
      <c r="F12" s="53" t="s">
        <v>138</v>
      </c>
      <c r="G12" s="53" t="s">
        <v>33</v>
      </c>
      <c r="H12" s="53">
        <v>1109190239</v>
      </c>
      <c r="I12" s="53" t="s">
        <v>128</v>
      </c>
      <c r="J12" s="53">
        <v>3173401</v>
      </c>
      <c r="K12" s="54">
        <v>45776</v>
      </c>
    </row>
    <row r="13" spans="5:11" x14ac:dyDescent="0.25">
      <c r="E13" s="53">
        <v>8</v>
      </c>
      <c r="F13" s="53" t="s">
        <v>41</v>
      </c>
      <c r="G13" s="53" t="s">
        <v>21</v>
      </c>
      <c r="H13" s="53">
        <v>1111790023</v>
      </c>
      <c r="I13" s="53" t="s">
        <v>128</v>
      </c>
      <c r="J13" s="53">
        <v>3173455</v>
      </c>
      <c r="K13" s="54">
        <v>45776</v>
      </c>
    </row>
    <row r="14" spans="5:11" x14ac:dyDescent="0.25">
      <c r="E14" s="53">
        <v>9</v>
      </c>
      <c r="F14" s="53" t="s">
        <v>139</v>
      </c>
      <c r="G14" s="53" t="s">
        <v>21</v>
      </c>
      <c r="H14" s="53">
        <v>1007198617</v>
      </c>
      <c r="I14" s="53" t="s">
        <v>133</v>
      </c>
      <c r="J14" s="53">
        <v>3316075</v>
      </c>
      <c r="K14" s="54">
        <v>45939</v>
      </c>
    </row>
    <row r="15" spans="5:11" x14ac:dyDescent="0.25">
      <c r="E15" s="53">
        <v>10</v>
      </c>
      <c r="F15" s="53" t="s">
        <v>140</v>
      </c>
      <c r="G15" s="53" t="s">
        <v>21</v>
      </c>
      <c r="H15" s="53">
        <v>1109545778</v>
      </c>
      <c r="I15" s="53" t="s">
        <v>128</v>
      </c>
      <c r="J15" s="53">
        <v>3173383</v>
      </c>
      <c r="K15" s="54">
        <v>45776</v>
      </c>
    </row>
    <row r="16" spans="5:11" x14ac:dyDescent="0.25">
      <c r="E16" s="53">
        <v>11</v>
      </c>
      <c r="F16" s="53" t="s">
        <v>141</v>
      </c>
      <c r="G16" s="53" t="s">
        <v>21</v>
      </c>
      <c r="H16" s="53">
        <v>1061723885</v>
      </c>
      <c r="I16" s="53" t="s">
        <v>133</v>
      </c>
      <c r="J16" s="53">
        <v>3234808</v>
      </c>
      <c r="K16" s="54">
        <v>45863</v>
      </c>
    </row>
    <row r="17" spans="5:11" x14ac:dyDescent="0.25">
      <c r="E17" s="53">
        <v>12</v>
      </c>
      <c r="F17" s="53" t="s">
        <v>44</v>
      </c>
      <c r="G17" s="53" t="s">
        <v>21</v>
      </c>
      <c r="H17" s="53">
        <v>1111667560</v>
      </c>
      <c r="I17" s="53" t="s">
        <v>128</v>
      </c>
      <c r="J17" s="53">
        <v>3173455</v>
      </c>
      <c r="K17" s="54">
        <v>45863</v>
      </c>
    </row>
    <row r="18" spans="5:11" x14ac:dyDescent="0.25">
      <c r="E18" s="53">
        <v>13</v>
      </c>
      <c r="F18" s="53" t="s">
        <v>46</v>
      </c>
      <c r="G18" s="53" t="s">
        <v>33</v>
      </c>
      <c r="H18" s="53">
        <v>1111673980</v>
      </c>
      <c r="I18" s="53" t="s">
        <v>128</v>
      </c>
      <c r="J18" s="53">
        <v>3173467</v>
      </c>
      <c r="K18" s="54">
        <v>45776</v>
      </c>
    </row>
    <row r="19" spans="5:11" x14ac:dyDescent="0.25">
      <c r="E19" s="53">
        <v>14</v>
      </c>
      <c r="F19" s="53" t="s">
        <v>47</v>
      </c>
      <c r="G19" s="53" t="s">
        <v>21</v>
      </c>
      <c r="H19" s="53">
        <v>1110283346</v>
      </c>
      <c r="I19" s="53" t="s">
        <v>128</v>
      </c>
      <c r="J19" s="53">
        <v>3176391</v>
      </c>
      <c r="K19" s="54">
        <v>45776</v>
      </c>
    </row>
    <row r="20" spans="5:11" x14ac:dyDescent="0.25">
      <c r="E20" s="53">
        <v>15</v>
      </c>
      <c r="F20" s="53" t="s">
        <v>49</v>
      </c>
      <c r="G20" s="53" t="s">
        <v>21</v>
      </c>
      <c r="H20" s="53">
        <v>1111481946</v>
      </c>
      <c r="I20" s="53" t="s">
        <v>135</v>
      </c>
      <c r="J20" s="53" t="s">
        <v>142</v>
      </c>
      <c r="K20" s="54" t="s">
        <v>143</v>
      </c>
    </row>
    <row r="21" spans="5:11" x14ac:dyDescent="0.25">
      <c r="E21" s="53">
        <v>16</v>
      </c>
      <c r="F21" s="53" t="s">
        <v>52</v>
      </c>
      <c r="G21" s="53" t="s">
        <v>21</v>
      </c>
      <c r="H21" s="53">
        <v>1143869517</v>
      </c>
      <c r="I21" s="53" t="s">
        <v>128</v>
      </c>
      <c r="J21" s="53">
        <v>3360393</v>
      </c>
      <c r="K21" s="54">
        <v>45939</v>
      </c>
    </row>
    <row r="22" spans="5:11" x14ac:dyDescent="0.25">
      <c r="E22" s="53">
        <v>17</v>
      </c>
      <c r="F22" s="53" t="s">
        <v>53</v>
      </c>
      <c r="G22" s="53" t="s">
        <v>21</v>
      </c>
      <c r="H22" s="53">
        <v>20627483</v>
      </c>
      <c r="I22" s="53" t="s">
        <v>128</v>
      </c>
      <c r="J22" s="53">
        <v>2977128</v>
      </c>
      <c r="K22" s="54">
        <v>45426</v>
      </c>
    </row>
    <row r="23" spans="5:11" x14ac:dyDescent="0.25">
      <c r="E23" s="53">
        <v>18</v>
      </c>
      <c r="F23" s="53" t="s">
        <v>55</v>
      </c>
      <c r="G23" s="53" t="s">
        <v>21</v>
      </c>
      <c r="H23" s="53">
        <v>1144075169</v>
      </c>
      <c r="I23" s="53" t="s">
        <v>128</v>
      </c>
      <c r="J23" s="53">
        <v>3316046</v>
      </c>
      <c r="K23" s="54">
        <v>45939</v>
      </c>
    </row>
    <row r="24" spans="5:11" x14ac:dyDescent="0.25">
      <c r="E24" s="53">
        <v>19</v>
      </c>
      <c r="F24" s="53" t="s">
        <v>57</v>
      </c>
      <c r="G24" s="53" t="s">
        <v>21</v>
      </c>
      <c r="H24" s="53">
        <v>1006098906</v>
      </c>
      <c r="I24" s="53" t="s">
        <v>128</v>
      </c>
      <c r="J24" s="53">
        <v>3173383</v>
      </c>
      <c r="K24" s="54">
        <v>45776</v>
      </c>
    </row>
    <row r="25" spans="5:11" x14ac:dyDescent="0.25">
      <c r="E25" s="53">
        <v>20</v>
      </c>
      <c r="F25" s="53" t="s">
        <v>59</v>
      </c>
      <c r="G25" s="53" t="s">
        <v>21</v>
      </c>
      <c r="H25" s="53">
        <v>1087803295</v>
      </c>
      <c r="I25" s="53" t="s">
        <v>135</v>
      </c>
      <c r="J25" s="53" t="s">
        <v>144</v>
      </c>
      <c r="K25" s="54" t="s">
        <v>145</v>
      </c>
    </row>
    <row r="26" spans="5:11" x14ac:dyDescent="0.25">
      <c r="E26" s="53">
        <v>21</v>
      </c>
      <c r="F26" s="53" t="s">
        <v>146</v>
      </c>
      <c r="G26" s="53" t="s">
        <v>21</v>
      </c>
      <c r="H26" s="53">
        <v>1107090828</v>
      </c>
      <c r="I26" s="53" t="s">
        <v>128</v>
      </c>
      <c r="J26" s="53">
        <v>3067594</v>
      </c>
      <c r="K26" s="54">
        <v>45580</v>
      </c>
    </row>
    <row r="27" spans="5:11" x14ac:dyDescent="0.25">
      <c r="E27" s="53">
        <v>22</v>
      </c>
      <c r="F27" s="53" t="s">
        <v>65</v>
      </c>
      <c r="G27" s="53" t="s">
        <v>21</v>
      </c>
      <c r="H27" s="53">
        <v>1111479392</v>
      </c>
      <c r="I27" s="53" t="s">
        <v>128</v>
      </c>
      <c r="J27" s="53">
        <v>3316045</v>
      </c>
      <c r="K27" s="54">
        <v>45939</v>
      </c>
    </row>
    <row r="28" spans="5:11" x14ac:dyDescent="0.25">
      <c r="E28" s="53">
        <v>23</v>
      </c>
      <c r="F28" s="53" t="s">
        <v>67</v>
      </c>
      <c r="G28" s="53" t="s">
        <v>21</v>
      </c>
      <c r="H28" s="53">
        <v>1111758514</v>
      </c>
      <c r="I28" s="53" t="s">
        <v>128</v>
      </c>
      <c r="J28" s="53">
        <v>3316045</v>
      </c>
      <c r="K28" s="54">
        <v>45939</v>
      </c>
    </row>
    <row r="29" spans="5:11" x14ac:dyDescent="0.25">
      <c r="E29" s="53">
        <v>24</v>
      </c>
      <c r="F29" s="53" t="s">
        <v>69</v>
      </c>
      <c r="G29" s="53" t="s">
        <v>21</v>
      </c>
      <c r="H29" s="53">
        <v>1058548493</v>
      </c>
      <c r="I29" s="53" t="s">
        <v>128</v>
      </c>
      <c r="J29" s="53">
        <v>3316055</v>
      </c>
      <c r="K29" s="54">
        <v>45939</v>
      </c>
    </row>
    <row r="30" spans="5:11" x14ac:dyDescent="0.25">
      <c r="E30" s="53">
        <v>25</v>
      </c>
      <c r="F30" s="53" t="s">
        <v>147</v>
      </c>
      <c r="G30" s="53" t="s">
        <v>21</v>
      </c>
      <c r="H30" s="53">
        <v>1150934104</v>
      </c>
      <c r="I30" s="53" t="s">
        <v>128</v>
      </c>
      <c r="J30" s="53">
        <v>3067594</v>
      </c>
      <c r="K30" s="54">
        <v>45580</v>
      </c>
    </row>
    <row r="31" spans="5:11" x14ac:dyDescent="0.25">
      <c r="E31" s="53">
        <v>26</v>
      </c>
      <c r="F31" s="53" t="s">
        <v>148</v>
      </c>
      <c r="G31" s="53" t="s">
        <v>21</v>
      </c>
      <c r="H31" s="53">
        <v>1004232374</v>
      </c>
      <c r="I31" s="53" t="s">
        <v>133</v>
      </c>
      <c r="J31" s="53">
        <v>3316070</v>
      </c>
      <c r="K31" s="54">
        <v>45939</v>
      </c>
    </row>
    <row r="32" spans="5:11" x14ac:dyDescent="0.25">
      <c r="E32" s="53">
        <v>27</v>
      </c>
      <c r="F32" s="53" t="s">
        <v>71</v>
      </c>
      <c r="G32" s="53" t="s">
        <v>21</v>
      </c>
      <c r="H32" s="53">
        <v>1112045308</v>
      </c>
      <c r="I32" s="53" t="s">
        <v>135</v>
      </c>
      <c r="J32" s="53" t="s">
        <v>136</v>
      </c>
      <c r="K32" s="54" t="s">
        <v>149</v>
      </c>
    </row>
    <row r="33" spans="5:11" x14ac:dyDescent="0.25">
      <c r="E33" s="53">
        <v>28</v>
      </c>
      <c r="F33" s="53" t="s">
        <v>73</v>
      </c>
      <c r="G33" s="53" t="s">
        <v>21</v>
      </c>
      <c r="H33" s="53">
        <v>1111669790</v>
      </c>
      <c r="I33" s="53" t="s">
        <v>128</v>
      </c>
      <c r="J33" s="53">
        <v>3316045</v>
      </c>
      <c r="K33" s="54">
        <v>45939</v>
      </c>
    </row>
    <row r="34" spans="5:11" x14ac:dyDescent="0.25">
      <c r="E34" s="53">
        <v>29</v>
      </c>
      <c r="F34" s="53" t="s">
        <v>150</v>
      </c>
      <c r="G34" s="53" t="s">
        <v>33</v>
      </c>
      <c r="H34" s="53">
        <v>1109190240</v>
      </c>
      <c r="I34" s="53" t="s">
        <v>133</v>
      </c>
      <c r="J34" s="53">
        <v>3316066</v>
      </c>
      <c r="K34" s="54">
        <v>45939</v>
      </c>
    </row>
    <row r="35" spans="5:11" x14ac:dyDescent="0.25">
      <c r="E35" s="53">
        <v>30</v>
      </c>
      <c r="F35" s="53" t="s">
        <v>75</v>
      </c>
      <c r="G35" s="53" t="s">
        <v>21</v>
      </c>
      <c r="H35" s="53">
        <v>1111758628</v>
      </c>
      <c r="I35" s="53" t="s">
        <v>128</v>
      </c>
      <c r="J35" s="53">
        <v>3234687</v>
      </c>
      <c r="K35" s="54">
        <v>45863</v>
      </c>
    </row>
    <row r="36" spans="5:11" x14ac:dyDescent="0.25">
      <c r="E36" s="53">
        <v>31</v>
      </c>
      <c r="F36" s="53" t="s">
        <v>151</v>
      </c>
      <c r="G36" s="53" t="s">
        <v>33</v>
      </c>
      <c r="H36" s="53">
        <v>1114623953</v>
      </c>
      <c r="I36" s="53" t="s">
        <v>128</v>
      </c>
      <c r="J36" s="53">
        <v>3173467</v>
      </c>
      <c r="K36" s="54">
        <v>45776</v>
      </c>
    </row>
    <row r="37" spans="5:11" x14ac:dyDescent="0.25">
      <c r="E37" s="53">
        <v>32</v>
      </c>
      <c r="F37" s="53" t="s">
        <v>152</v>
      </c>
      <c r="G37" s="53" t="s">
        <v>21</v>
      </c>
      <c r="H37" s="53">
        <v>1083868961</v>
      </c>
      <c r="I37" s="53" t="s">
        <v>128</v>
      </c>
      <c r="J37" s="53">
        <v>3237710</v>
      </c>
      <c r="K37" s="54">
        <v>45863</v>
      </c>
    </row>
    <row r="38" spans="5:11" x14ac:dyDescent="0.25">
      <c r="E38" s="53">
        <v>33</v>
      </c>
      <c r="F38" s="53" t="s">
        <v>80</v>
      </c>
      <c r="G38" s="53" t="s">
        <v>21</v>
      </c>
      <c r="H38" s="53">
        <v>1111666464</v>
      </c>
      <c r="I38" s="53" t="s">
        <v>135</v>
      </c>
      <c r="J38" s="53" t="s">
        <v>153</v>
      </c>
      <c r="K38" s="54" t="s">
        <v>149</v>
      </c>
    </row>
    <row r="39" spans="5:11" x14ac:dyDescent="0.25">
      <c r="E39" s="53">
        <v>34</v>
      </c>
      <c r="F39" s="53" t="s">
        <v>84</v>
      </c>
      <c r="G39" s="53" t="s">
        <v>21</v>
      </c>
      <c r="H39" s="53">
        <v>1114622889</v>
      </c>
      <c r="I39" s="53" t="s">
        <v>128</v>
      </c>
      <c r="J39" s="53">
        <v>3173467</v>
      </c>
      <c r="K39" s="54">
        <v>45776</v>
      </c>
    </row>
    <row r="40" spans="5:11" x14ac:dyDescent="0.25">
      <c r="E40" s="53">
        <v>35</v>
      </c>
      <c r="F40" s="53" t="s">
        <v>154</v>
      </c>
      <c r="G40" s="53" t="s">
        <v>21</v>
      </c>
      <c r="H40" s="53">
        <v>1085544304</v>
      </c>
      <c r="I40" s="53" t="s">
        <v>133</v>
      </c>
      <c r="J40" s="53">
        <v>3316080</v>
      </c>
      <c r="K40" s="54">
        <v>45939</v>
      </c>
    </row>
    <row r="41" spans="5:11" x14ac:dyDescent="0.25">
      <c r="E41" s="53">
        <v>36</v>
      </c>
      <c r="F41" s="53" t="s">
        <v>86</v>
      </c>
      <c r="G41" s="53" t="s">
        <v>21</v>
      </c>
      <c r="H41" s="53">
        <v>1059240235</v>
      </c>
      <c r="I41" s="53" t="s">
        <v>128</v>
      </c>
      <c r="J41" s="53">
        <v>3173467</v>
      </c>
      <c r="K41" s="54">
        <v>45776</v>
      </c>
    </row>
    <row r="42" spans="5:11" x14ac:dyDescent="0.25">
      <c r="E42" s="53">
        <v>37</v>
      </c>
      <c r="F42" s="53" t="s">
        <v>88</v>
      </c>
      <c r="G42" s="53" t="s">
        <v>33</v>
      </c>
      <c r="H42" s="53">
        <v>1114893003</v>
      </c>
      <c r="I42" s="53" t="s">
        <v>128</v>
      </c>
      <c r="J42" s="53">
        <v>3173401</v>
      </c>
      <c r="K42" s="54">
        <v>45776</v>
      </c>
    </row>
    <row r="43" spans="5:11" x14ac:dyDescent="0.25">
      <c r="E43" s="53">
        <v>38</v>
      </c>
      <c r="F43" s="53" t="s">
        <v>90</v>
      </c>
      <c r="G43" s="53" t="s">
        <v>21</v>
      </c>
      <c r="H43" s="53">
        <v>1080836965</v>
      </c>
      <c r="I43" s="53" t="s">
        <v>128</v>
      </c>
      <c r="J43" s="53">
        <v>3173467</v>
      </c>
      <c r="K43" s="54">
        <v>45776</v>
      </c>
    </row>
    <row r="44" spans="5:11" x14ac:dyDescent="0.25">
      <c r="E44" s="53">
        <v>39</v>
      </c>
      <c r="F44" s="53" t="s">
        <v>93</v>
      </c>
      <c r="G44" s="53" t="s">
        <v>21</v>
      </c>
      <c r="H44" s="53">
        <v>6102629</v>
      </c>
      <c r="I44" s="53" t="s">
        <v>128</v>
      </c>
      <c r="J44" s="53">
        <v>3293963</v>
      </c>
      <c r="K44" s="54">
        <v>45863</v>
      </c>
    </row>
    <row r="45" spans="5:11" x14ac:dyDescent="0.25">
      <c r="E45" s="53">
        <v>40</v>
      </c>
      <c r="F45" s="53" t="s">
        <v>155</v>
      </c>
      <c r="G45" s="53" t="s">
        <v>21</v>
      </c>
      <c r="H45" s="53">
        <v>1143868553</v>
      </c>
      <c r="I45" s="53" t="s">
        <v>128</v>
      </c>
      <c r="J45" s="53">
        <v>3316057</v>
      </c>
      <c r="K45" s="54">
        <v>45939</v>
      </c>
    </row>
    <row r="46" spans="5:11" x14ac:dyDescent="0.25">
      <c r="E46" s="53">
        <v>41</v>
      </c>
      <c r="F46" s="53" t="s">
        <v>95</v>
      </c>
      <c r="G46" s="53" t="s">
        <v>21</v>
      </c>
      <c r="H46" s="53">
        <v>1109117577</v>
      </c>
      <c r="I46" s="53" t="s">
        <v>128</v>
      </c>
      <c r="J46" s="53">
        <v>3234687</v>
      </c>
      <c r="K46" s="54">
        <v>45863</v>
      </c>
    </row>
    <row r="47" spans="5:11" x14ac:dyDescent="0.25">
      <c r="E47" s="53">
        <v>42</v>
      </c>
      <c r="F47" s="53" t="s">
        <v>97</v>
      </c>
      <c r="G47" s="53" t="s">
        <v>21</v>
      </c>
      <c r="H47" s="53">
        <v>24398364</v>
      </c>
      <c r="I47" s="53" t="s">
        <v>128</v>
      </c>
      <c r="J47" s="53">
        <v>3234702</v>
      </c>
      <c r="K47" s="54">
        <v>45863</v>
      </c>
    </row>
    <row r="48" spans="5:11" x14ac:dyDescent="0.25">
      <c r="E48" s="53">
        <v>43</v>
      </c>
      <c r="F48" s="53" t="s">
        <v>99</v>
      </c>
      <c r="G48" s="53" t="s">
        <v>33</v>
      </c>
      <c r="H48" s="53">
        <v>1104820533</v>
      </c>
      <c r="I48" s="53" t="s">
        <v>128</v>
      </c>
      <c r="J48" s="53">
        <v>3176391</v>
      </c>
      <c r="K48" s="54">
        <v>45776</v>
      </c>
    </row>
    <row r="49" spans="5:11" x14ac:dyDescent="0.25">
      <c r="E49" s="53">
        <v>44</v>
      </c>
      <c r="F49" s="53" t="s">
        <v>101</v>
      </c>
      <c r="G49" s="53" t="s">
        <v>21</v>
      </c>
      <c r="H49" s="53">
        <v>1112046451</v>
      </c>
      <c r="I49" s="53" t="s">
        <v>128</v>
      </c>
      <c r="J49" s="53">
        <v>3237722</v>
      </c>
      <c r="K49" s="54">
        <v>45863</v>
      </c>
    </row>
    <row r="50" spans="5:11" x14ac:dyDescent="0.25">
      <c r="E50" s="53">
        <v>45</v>
      </c>
      <c r="F50" s="53" t="s">
        <v>103</v>
      </c>
      <c r="G50" s="53" t="s">
        <v>21</v>
      </c>
      <c r="H50" s="53">
        <v>1150936518</v>
      </c>
      <c r="I50" s="53" t="s">
        <v>128</v>
      </c>
      <c r="J50" s="53">
        <v>3173467</v>
      </c>
      <c r="K50" s="54">
        <v>45776</v>
      </c>
    </row>
    <row r="51" spans="5:11" x14ac:dyDescent="0.25">
      <c r="E51" s="53">
        <v>46</v>
      </c>
      <c r="F51" s="53" t="s">
        <v>105</v>
      </c>
      <c r="G51" s="53" t="s">
        <v>21</v>
      </c>
      <c r="H51" s="53">
        <v>1029600434</v>
      </c>
      <c r="I51" s="53" t="s">
        <v>128</v>
      </c>
      <c r="J51" s="53">
        <v>3173467</v>
      </c>
      <c r="K51" s="54">
        <v>45776</v>
      </c>
    </row>
    <row r="52" spans="5:11" x14ac:dyDescent="0.25">
      <c r="E52" s="53">
        <v>47</v>
      </c>
      <c r="F52" s="53" t="s">
        <v>108</v>
      </c>
      <c r="G52" s="53" t="s">
        <v>21</v>
      </c>
      <c r="H52" s="53">
        <v>1114543389</v>
      </c>
      <c r="I52" s="53" t="s">
        <v>128</v>
      </c>
      <c r="J52" s="53">
        <v>3316055</v>
      </c>
      <c r="K52" s="54">
        <v>45939</v>
      </c>
    </row>
    <row r="53" spans="5:11" x14ac:dyDescent="0.25">
      <c r="E53" s="53">
        <v>48</v>
      </c>
      <c r="F53" s="53" t="s">
        <v>156</v>
      </c>
      <c r="G53" s="53" t="s">
        <v>21</v>
      </c>
      <c r="H53" s="53">
        <v>1193443392</v>
      </c>
      <c r="I53" s="53" t="s">
        <v>133</v>
      </c>
      <c r="J53" s="53">
        <v>3316075</v>
      </c>
      <c r="K53" s="54">
        <v>45939</v>
      </c>
    </row>
    <row r="54" spans="5:11" x14ac:dyDescent="0.25">
      <c r="E54" s="53">
        <v>49</v>
      </c>
      <c r="F54" s="53" t="s">
        <v>157</v>
      </c>
      <c r="G54" s="53" t="s">
        <v>21</v>
      </c>
      <c r="H54" s="53">
        <v>1193232411</v>
      </c>
      <c r="I54" s="53" t="s">
        <v>135</v>
      </c>
      <c r="J54" s="53" t="s">
        <v>158</v>
      </c>
      <c r="K54" s="54">
        <v>45580</v>
      </c>
    </row>
    <row r="55" spans="5:11" x14ac:dyDescent="0.25">
      <c r="E55" s="53">
        <v>50</v>
      </c>
      <c r="F55" s="53" t="s">
        <v>112</v>
      </c>
      <c r="G55" s="53" t="s">
        <v>33</v>
      </c>
      <c r="H55" s="53">
        <v>1059240939</v>
      </c>
      <c r="I55" s="53" t="s">
        <v>128</v>
      </c>
      <c r="J55" s="53">
        <v>3173467</v>
      </c>
      <c r="K55" s="54">
        <v>45776</v>
      </c>
    </row>
    <row r="56" spans="5:11" x14ac:dyDescent="0.25">
      <c r="E56" s="53">
        <v>51</v>
      </c>
      <c r="F56" s="53" t="s">
        <v>159</v>
      </c>
      <c r="G56" s="53" t="s">
        <v>21</v>
      </c>
      <c r="H56" s="53">
        <v>1111546484</v>
      </c>
      <c r="I56" s="53" t="s">
        <v>133</v>
      </c>
      <c r="J56" s="53">
        <v>3316077</v>
      </c>
      <c r="K56" s="54">
        <v>45939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EF07-1D92-44DA-A74E-C5EE49DA5E55}">
  <dimension ref="D2:L56"/>
  <sheetViews>
    <sheetView workbookViewId="0">
      <selection activeCell="M8" sqref="M8"/>
    </sheetView>
  </sheetViews>
  <sheetFormatPr baseColWidth="10" defaultColWidth="11.42578125" defaultRowHeight="15" x14ac:dyDescent="0.25"/>
  <cols>
    <col min="9" max="12" width="11.42578125" customWidth="1"/>
  </cols>
  <sheetData>
    <row r="2" spans="4:12" ht="15.75" thickBot="1" x14ac:dyDescent="0.3"/>
    <row r="3" spans="4:12" ht="15.75" customHeight="1" x14ac:dyDescent="0.25">
      <c r="D3" s="90" t="s">
        <v>2</v>
      </c>
      <c r="E3" s="90" t="s">
        <v>160</v>
      </c>
      <c r="F3" s="90" t="s">
        <v>161</v>
      </c>
      <c r="G3" s="90" t="s">
        <v>162</v>
      </c>
      <c r="H3" s="90" t="s">
        <v>8</v>
      </c>
      <c r="I3" s="90" t="s">
        <v>163</v>
      </c>
      <c r="J3" s="90" t="s">
        <v>164</v>
      </c>
      <c r="K3" s="90" t="s">
        <v>165</v>
      </c>
      <c r="L3" s="90" t="s">
        <v>166</v>
      </c>
    </row>
    <row r="4" spans="4:12" ht="18" customHeight="1" thickBot="1" x14ac:dyDescent="0.3">
      <c r="D4" s="91"/>
      <c r="E4" s="91"/>
      <c r="F4" s="91"/>
      <c r="G4" s="91"/>
      <c r="H4" s="91"/>
      <c r="I4" s="91"/>
      <c r="J4" s="91"/>
      <c r="K4" s="91"/>
      <c r="L4" s="91"/>
    </row>
    <row r="5" spans="4:12" ht="15.75" thickBot="1" x14ac:dyDescent="0.3">
      <c r="D5" s="56">
        <v>1</v>
      </c>
      <c r="E5" s="57" t="s">
        <v>22</v>
      </c>
      <c r="F5" s="57" t="s">
        <v>21</v>
      </c>
      <c r="G5" s="57">
        <v>1061531645</v>
      </c>
      <c r="H5" s="58" t="s">
        <v>167</v>
      </c>
      <c r="I5" s="57" t="s">
        <v>168</v>
      </c>
      <c r="J5" s="57" t="s">
        <v>169</v>
      </c>
      <c r="K5" s="58" t="s">
        <v>30</v>
      </c>
      <c r="L5" s="59">
        <v>875453</v>
      </c>
    </row>
    <row r="6" spans="4:12" ht="15.75" thickBot="1" x14ac:dyDescent="0.3">
      <c r="D6" s="56">
        <v>2</v>
      </c>
      <c r="E6" s="57" t="s">
        <v>27</v>
      </c>
      <c r="F6" s="57" t="s">
        <v>21</v>
      </c>
      <c r="G6" s="57">
        <v>1147955081</v>
      </c>
      <c r="H6" s="58">
        <v>163126</v>
      </c>
      <c r="I6" s="57" t="s">
        <v>29</v>
      </c>
      <c r="J6" s="57">
        <v>470378274</v>
      </c>
      <c r="K6" s="58" t="s">
        <v>30</v>
      </c>
      <c r="L6" s="59">
        <v>875453</v>
      </c>
    </row>
    <row r="7" spans="4:12" ht="15.75" thickBot="1" x14ac:dyDescent="0.3">
      <c r="D7" s="56">
        <v>3</v>
      </c>
      <c r="E7" s="57" t="s">
        <v>129</v>
      </c>
      <c r="F7" s="57" t="s">
        <v>21</v>
      </c>
      <c r="G7" s="57">
        <v>1110044282</v>
      </c>
      <c r="H7" s="58">
        <v>193026</v>
      </c>
      <c r="I7" s="57" t="s">
        <v>35</v>
      </c>
      <c r="J7" s="57">
        <v>87084875339</v>
      </c>
      <c r="K7" s="58" t="s">
        <v>30</v>
      </c>
      <c r="L7" s="59">
        <v>875453</v>
      </c>
    </row>
    <row r="8" spans="4:12" ht="15.75" thickBot="1" x14ac:dyDescent="0.3">
      <c r="D8" s="56">
        <v>4</v>
      </c>
      <c r="E8" s="57" t="s">
        <v>31</v>
      </c>
      <c r="F8" s="57" t="s">
        <v>21</v>
      </c>
      <c r="G8" s="57">
        <v>1004345458</v>
      </c>
      <c r="H8" s="58">
        <v>121426</v>
      </c>
      <c r="I8" s="57" t="s">
        <v>32</v>
      </c>
      <c r="J8" s="57">
        <v>416220116206</v>
      </c>
      <c r="K8" s="58" t="s">
        <v>30</v>
      </c>
      <c r="L8" s="59">
        <v>875453</v>
      </c>
    </row>
    <row r="9" spans="4:12" ht="15.75" thickBot="1" x14ac:dyDescent="0.3">
      <c r="D9" s="56">
        <v>5</v>
      </c>
      <c r="E9" s="57" t="s">
        <v>38</v>
      </c>
      <c r="F9" s="57" t="s">
        <v>21</v>
      </c>
      <c r="G9" s="57">
        <v>1111667242</v>
      </c>
      <c r="H9" s="58">
        <v>193126</v>
      </c>
      <c r="I9" s="57" t="s">
        <v>35</v>
      </c>
      <c r="J9" s="57">
        <v>45160982008</v>
      </c>
      <c r="K9" s="58" t="s">
        <v>30</v>
      </c>
      <c r="L9" s="59">
        <v>875453</v>
      </c>
    </row>
    <row r="10" spans="4:12" ht="15.75" thickBot="1" x14ac:dyDescent="0.3">
      <c r="D10" s="56">
        <v>6</v>
      </c>
      <c r="E10" s="57" t="s">
        <v>134</v>
      </c>
      <c r="F10" s="57" t="s">
        <v>21</v>
      </c>
      <c r="G10" s="57">
        <v>1086299870</v>
      </c>
      <c r="H10" s="58">
        <v>121626</v>
      </c>
      <c r="I10" s="57" t="s">
        <v>35</v>
      </c>
      <c r="J10" s="57">
        <v>51489750931</v>
      </c>
      <c r="K10" s="58" t="s">
        <v>30</v>
      </c>
      <c r="L10" s="59">
        <v>875453</v>
      </c>
    </row>
    <row r="11" spans="4:12" ht="15.75" thickBot="1" x14ac:dyDescent="0.3">
      <c r="D11" s="56">
        <v>7</v>
      </c>
      <c r="E11" s="57" t="s">
        <v>138</v>
      </c>
      <c r="F11" s="57" t="s">
        <v>33</v>
      </c>
      <c r="G11" s="57">
        <v>1109190239</v>
      </c>
      <c r="H11" s="58">
        <v>121826</v>
      </c>
      <c r="I11" s="57" t="s">
        <v>35</v>
      </c>
      <c r="J11" s="57">
        <v>87064659163</v>
      </c>
      <c r="K11" s="58" t="s">
        <v>30</v>
      </c>
      <c r="L11" s="59">
        <v>875453</v>
      </c>
    </row>
    <row r="12" spans="4:12" ht="15.75" thickBot="1" x14ac:dyDescent="0.3">
      <c r="D12" s="56">
        <v>8</v>
      </c>
      <c r="E12" s="57" t="s">
        <v>41</v>
      </c>
      <c r="F12" s="57" t="s">
        <v>21</v>
      </c>
      <c r="G12" s="57">
        <v>1111790023</v>
      </c>
      <c r="H12" s="58">
        <v>121926</v>
      </c>
      <c r="I12" s="57" t="s">
        <v>35</v>
      </c>
      <c r="J12" s="57">
        <v>87042635123</v>
      </c>
      <c r="K12" s="58" t="s">
        <v>30</v>
      </c>
      <c r="L12" s="59">
        <v>875453</v>
      </c>
    </row>
    <row r="13" spans="4:12" ht="15.75" thickBot="1" x14ac:dyDescent="0.3">
      <c r="D13" s="56">
        <v>9</v>
      </c>
      <c r="E13" s="57" t="s">
        <v>139</v>
      </c>
      <c r="F13" s="57" t="s">
        <v>21</v>
      </c>
      <c r="G13" s="57">
        <v>1007198617</v>
      </c>
      <c r="H13" s="58">
        <v>122026</v>
      </c>
      <c r="I13" s="57" t="s">
        <v>35</v>
      </c>
      <c r="J13" s="57">
        <v>91201375547</v>
      </c>
      <c r="K13" s="58" t="s">
        <v>30</v>
      </c>
      <c r="L13" s="59">
        <v>875453</v>
      </c>
    </row>
    <row r="14" spans="4:12" ht="15.75" thickBot="1" x14ac:dyDescent="0.3">
      <c r="D14" s="56">
        <v>10</v>
      </c>
      <c r="E14" s="57" t="s">
        <v>140</v>
      </c>
      <c r="F14" s="57" t="s">
        <v>21</v>
      </c>
      <c r="G14" s="57">
        <v>1109545778</v>
      </c>
      <c r="H14" s="58">
        <v>122326</v>
      </c>
      <c r="I14" s="57" t="s">
        <v>37</v>
      </c>
      <c r="J14" s="57">
        <v>550488456273041</v>
      </c>
      <c r="K14" s="58" t="s">
        <v>30</v>
      </c>
      <c r="L14" s="59">
        <v>875453</v>
      </c>
    </row>
    <row r="15" spans="4:12" ht="15.75" thickBot="1" x14ac:dyDescent="0.3">
      <c r="D15" s="56">
        <v>11</v>
      </c>
      <c r="E15" s="57" t="s">
        <v>141</v>
      </c>
      <c r="F15" s="57" t="s">
        <v>21</v>
      </c>
      <c r="G15" s="57">
        <v>1061723885</v>
      </c>
      <c r="H15" s="58">
        <v>122426</v>
      </c>
      <c r="I15" s="57" t="s">
        <v>35</v>
      </c>
      <c r="J15" s="57">
        <v>87079687872</v>
      </c>
      <c r="K15" s="58" t="s">
        <v>30</v>
      </c>
      <c r="L15" s="59">
        <v>875453</v>
      </c>
    </row>
    <row r="16" spans="4:12" ht="15.75" thickBot="1" x14ac:dyDescent="0.3">
      <c r="D16" s="56">
        <v>12</v>
      </c>
      <c r="E16" s="57" t="s">
        <v>44</v>
      </c>
      <c r="F16" s="57" t="s">
        <v>21</v>
      </c>
      <c r="G16" s="57">
        <v>1111667560</v>
      </c>
      <c r="H16" s="58">
        <v>122626</v>
      </c>
      <c r="I16" s="57" t="s">
        <v>35</v>
      </c>
      <c r="J16" s="57">
        <v>91284209562</v>
      </c>
      <c r="K16" s="58" t="s">
        <v>30</v>
      </c>
      <c r="L16" s="59">
        <v>875453</v>
      </c>
    </row>
    <row r="17" spans="4:12" ht="15.75" thickBot="1" x14ac:dyDescent="0.3">
      <c r="D17" s="56">
        <v>13</v>
      </c>
      <c r="E17" s="57" t="s">
        <v>46</v>
      </c>
      <c r="F17" s="57" t="s">
        <v>33</v>
      </c>
      <c r="G17" s="57">
        <v>1111673980</v>
      </c>
      <c r="H17" s="58">
        <v>122826</v>
      </c>
      <c r="I17" s="57" t="s">
        <v>35</v>
      </c>
      <c r="J17" s="57">
        <v>7789195751</v>
      </c>
      <c r="K17" s="58" t="s">
        <v>30</v>
      </c>
      <c r="L17" s="59">
        <v>875453</v>
      </c>
    </row>
    <row r="18" spans="4:12" ht="15.75" thickBot="1" x14ac:dyDescent="0.3">
      <c r="D18" s="56">
        <v>14</v>
      </c>
      <c r="E18" s="57" t="s">
        <v>47</v>
      </c>
      <c r="F18" s="57" t="s">
        <v>21</v>
      </c>
      <c r="G18" s="57">
        <v>1110283346</v>
      </c>
      <c r="H18" s="58">
        <v>123026</v>
      </c>
      <c r="I18" s="57" t="s">
        <v>35</v>
      </c>
      <c r="J18" s="57">
        <v>74589152011</v>
      </c>
      <c r="K18" s="58" t="s">
        <v>30</v>
      </c>
      <c r="L18" s="59">
        <v>875453</v>
      </c>
    </row>
    <row r="19" spans="4:12" ht="15.75" thickBot="1" x14ac:dyDescent="0.3">
      <c r="D19" s="56">
        <v>15</v>
      </c>
      <c r="E19" s="57" t="s">
        <v>49</v>
      </c>
      <c r="F19" s="57" t="s">
        <v>21</v>
      </c>
      <c r="G19" s="57">
        <v>1111481946</v>
      </c>
      <c r="H19" s="58" t="s">
        <v>170</v>
      </c>
      <c r="I19" s="57" t="s">
        <v>168</v>
      </c>
      <c r="J19" s="57" t="s">
        <v>171</v>
      </c>
      <c r="K19" s="58" t="s">
        <v>30</v>
      </c>
      <c r="L19" s="59">
        <v>875453</v>
      </c>
    </row>
    <row r="20" spans="4:12" ht="15.75" thickBot="1" x14ac:dyDescent="0.3">
      <c r="D20" s="56">
        <v>16</v>
      </c>
      <c r="E20" s="57" t="s">
        <v>52</v>
      </c>
      <c r="F20" s="57" t="s">
        <v>21</v>
      </c>
      <c r="G20" s="57">
        <v>1143869517</v>
      </c>
      <c r="H20" s="58">
        <v>123126</v>
      </c>
      <c r="I20" s="57" t="s">
        <v>35</v>
      </c>
      <c r="J20" s="57">
        <v>87054845135</v>
      </c>
      <c r="K20" s="58" t="s">
        <v>30</v>
      </c>
      <c r="L20" s="59">
        <v>875453</v>
      </c>
    </row>
    <row r="21" spans="4:12" ht="15.75" thickBot="1" x14ac:dyDescent="0.3">
      <c r="D21" s="56">
        <v>17</v>
      </c>
      <c r="E21" s="57" t="s">
        <v>53</v>
      </c>
      <c r="F21" s="57" t="s">
        <v>21</v>
      </c>
      <c r="G21" s="57">
        <v>20627483</v>
      </c>
      <c r="H21" s="58">
        <v>163226</v>
      </c>
      <c r="I21" s="57" t="s">
        <v>172</v>
      </c>
      <c r="J21" s="57" t="s">
        <v>173</v>
      </c>
      <c r="K21" s="58" t="s">
        <v>30</v>
      </c>
      <c r="L21" s="59">
        <v>875453</v>
      </c>
    </row>
    <row r="22" spans="4:12" ht="15.75" thickBot="1" x14ac:dyDescent="0.3">
      <c r="D22" s="56">
        <v>18</v>
      </c>
      <c r="E22" s="57" t="s">
        <v>55</v>
      </c>
      <c r="F22" s="57" t="s">
        <v>21</v>
      </c>
      <c r="G22" s="57">
        <v>1144075169</v>
      </c>
      <c r="H22" s="58">
        <v>123226</v>
      </c>
      <c r="I22" s="57" t="s">
        <v>35</v>
      </c>
      <c r="J22" s="57">
        <v>87054144506</v>
      </c>
      <c r="K22" s="58" t="s">
        <v>30</v>
      </c>
      <c r="L22" s="59">
        <v>875453</v>
      </c>
    </row>
    <row r="23" spans="4:12" ht="15.75" thickBot="1" x14ac:dyDescent="0.3">
      <c r="D23" s="56">
        <v>19</v>
      </c>
      <c r="E23" s="57" t="s">
        <v>57</v>
      </c>
      <c r="F23" s="57" t="s">
        <v>21</v>
      </c>
      <c r="G23" s="57">
        <v>1006098906</v>
      </c>
      <c r="H23" s="58" t="s">
        <v>174</v>
      </c>
      <c r="I23" s="57" t="s">
        <v>175</v>
      </c>
      <c r="J23" s="57" t="s">
        <v>176</v>
      </c>
      <c r="K23" s="58" t="s">
        <v>30</v>
      </c>
      <c r="L23" s="59">
        <v>875453</v>
      </c>
    </row>
    <row r="24" spans="4:12" ht="15.75" thickBot="1" x14ac:dyDescent="0.3">
      <c r="D24" s="56">
        <v>20</v>
      </c>
      <c r="E24" s="57" t="s">
        <v>59</v>
      </c>
      <c r="F24" s="57" t="s">
        <v>21</v>
      </c>
      <c r="G24" s="57">
        <v>1087803295</v>
      </c>
      <c r="H24" s="58">
        <v>193326</v>
      </c>
      <c r="I24" s="57" t="s">
        <v>35</v>
      </c>
      <c r="J24" s="57">
        <v>87062535114</v>
      </c>
      <c r="K24" s="58" t="s">
        <v>30</v>
      </c>
      <c r="L24" s="59">
        <v>875453</v>
      </c>
    </row>
    <row r="25" spans="4:12" ht="15.75" thickBot="1" x14ac:dyDescent="0.3">
      <c r="D25" s="56">
        <v>21</v>
      </c>
      <c r="E25" s="57" t="s">
        <v>146</v>
      </c>
      <c r="F25" s="57" t="s">
        <v>21</v>
      </c>
      <c r="G25" s="57">
        <v>1107090828</v>
      </c>
      <c r="H25" s="58">
        <v>123726</v>
      </c>
      <c r="I25" s="57" t="s">
        <v>35</v>
      </c>
      <c r="J25" s="57">
        <v>81294050787</v>
      </c>
      <c r="K25" s="58" t="s">
        <v>30</v>
      </c>
      <c r="L25" s="59">
        <v>875453</v>
      </c>
    </row>
    <row r="26" spans="4:12" ht="15.75" thickBot="1" x14ac:dyDescent="0.3">
      <c r="D26" s="56">
        <v>22</v>
      </c>
      <c r="E26" s="57" t="s">
        <v>65</v>
      </c>
      <c r="F26" s="57" t="s">
        <v>21</v>
      </c>
      <c r="G26" s="57">
        <v>1111479392</v>
      </c>
      <c r="H26" s="58" t="s">
        <v>177</v>
      </c>
      <c r="I26" s="57" t="s">
        <v>172</v>
      </c>
      <c r="J26" s="57" t="s">
        <v>178</v>
      </c>
      <c r="K26" s="58" t="s">
        <v>30</v>
      </c>
      <c r="L26" s="59">
        <v>875453</v>
      </c>
    </row>
    <row r="27" spans="4:12" ht="15.75" thickBot="1" x14ac:dyDescent="0.3">
      <c r="D27" s="56">
        <v>23</v>
      </c>
      <c r="E27" s="57" t="s">
        <v>67</v>
      </c>
      <c r="F27" s="57" t="s">
        <v>21</v>
      </c>
      <c r="G27" s="57">
        <v>1111758514</v>
      </c>
      <c r="H27" s="58">
        <v>123826</v>
      </c>
      <c r="I27" s="57" t="s">
        <v>35</v>
      </c>
      <c r="J27" s="57">
        <v>87055101171</v>
      </c>
      <c r="K27" s="58" t="s">
        <v>30</v>
      </c>
      <c r="L27" s="59">
        <v>875453</v>
      </c>
    </row>
    <row r="28" spans="4:12" ht="15.75" thickBot="1" x14ac:dyDescent="0.3">
      <c r="D28" s="56">
        <v>24</v>
      </c>
      <c r="E28" s="57" t="s">
        <v>69</v>
      </c>
      <c r="F28" s="57" t="s">
        <v>21</v>
      </c>
      <c r="G28" s="57">
        <v>1058548493</v>
      </c>
      <c r="H28" s="58">
        <v>123926</v>
      </c>
      <c r="I28" s="57" t="s">
        <v>35</v>
      </c>
      <c r="J28" s="57">
        <v>91297493383</v>
      </c>
      <c r="K28" s="58" t="s">
        <v>30</v>
      </c>
      <c r="L28" s="59">
        <v>875453</v>
      </c>
    </row>
    <row r="29" spans="4:12" ht="15.75" thickBot="1" x14ac:dyDescent="0.3">
      <c r="D29" s="56">
        <v>25</v>
      </c>
      <c r="E29" s="57" t="s">
        <v>147</v>
      </c>
      <c r="F29" s="57" t="s">
        <v>21</v>
      </c>
      <c r="G29" s="57">
        <v>1150934104</v>
      </c>
      <c r="H29" s="58">
        <v>124026</v>
      </c>
      <c r="I29" s="57" t="s">
        <v>35</v>
      </c>
      <c r="J29" s="57">
        <v>91278864052</v>
      </c>
      <c r="K29" s="58" t="s">
        <v>30</v>
      </c>
      <c r="L29" s="59">
        <v>875453</v>
      </c>
    </row>
    <row r="30" spans="4:12" ht="15.75" thickBot="1" x14ac:dyDescent="0.3">
      <c r="D30" s="56">
        <v>26</v>
      </c>
      <c r="E30" s="57" t="s">
        <v>148</v>
      </c>
      <c r="F30" s="57" t="s">
        <v>21</v>
      </c>
      <c r="G30" s="57">
        <v>1004232374</v>
      </c>
      <c r="H30" s="58" t="s">
        <v>179</v>
      </c>
      <c r="I30" s="57" t="s">
        <v>172</v>
      </c>
      <c r="J30" s="57" t="s">
        <v>180</v>
      </c>
      <c r="K30" s="58" t="s">
        <v>30</v>
      </c>
      <c r="L30" s="59">
        <v>875453</v>
      </c>
    </row>
    <row r="31" spans="4:12" ht="15.75" thickBot="1" x14ac:dyDescent="0.3">
      <c r="D31" s="56">
        <v>27</v>
      </c>
      <c r="E31" s="57" t="s">
        <v>71</v>
      </c>
      <c r="F31" s="57" t="s">
        <v>21</v>
      </c>
      <c r="G31" s="57">
        <v>1112045308</v>
      </c>
      <c r="H31" s="58">
        <v>193426</v>
      </c>
      <c r="I31" s="57" t="s">
        <v>172</v>
      </c>
      <c r="J31" s="57">
        <v>87063951881</v>
      </c>
      <c r="K31" s="58" t="s">
        <v>30</v>
      </c>
      <c r="L31" s="59">
        <v>875453</v>
      </c>
    </row>
    <row r="32" spans="4:12" ht="15.75" thickBot="1" x14ac:dyDescent="0.3">
      <c r="D32" s="56">
        <v>28</v>
      </c>
      <c r="E32" s="57" t="s">
        <v>73</v>
      </c>
      <c r="F32" s="57" t="s">
        <v>21</v>
      </c>
      <c r="G32" s="57">
        <v>1111669790</v>
      </c>
      <c r="H32" s="58" t="s">
        <v>181</v>
      </c>
      <c r="I32" s="57" t="s">
        <v>168</v>
      </c>
      <c r="J32" s="57" t="s">
        <v>182</v>
      </c>
      <c r="K32" s="58" t="s">
        <v>30</v>
      </c>
      <c r="L32" s="59">
        <v>875453</v>
      </c>
    </row>
    <row r="33" spans="4:12" ht="15.75" thickBot="1" x14ac:dyDescent="0.3">
      <c r="D33" s="56">
        <v>29</v>
      </c>
      <c r="E33" s="57" t="s">
        <v>150</v>
      </c>
      <c r="F33" s="57" t="s">
        <v>33</v>
      </c>
      <c r="G33" s="57">
        <v>1109190240</v>
      </c>
      <c r="H33" s="58">
        <v>124126</v>
      </c>
      <c r="I33" s="57" t="s">
        <v>35</v>
      </c>
      <c r="J33" s="57">
        <v>87063293711</v>
      </c>
      <c r="K33" s="58" t="s">
        <v>30</v>
      </c>
      <c r="L33" s="59">
        <v>875453</v>
      </c>
    </row>
    <row r="34" spans="4:12" ht="15.75" thickBot="1" x14ac:dyDescent="0.3">
      <c r="D34" s="56">
        <v>30</v>
      </c>
      <c r="E34" s="57" t="s">
        <v>75</v>
      </c>
      <c r="F34" s="57" t="s">
        <v>21</v>
      </c>
      <c r="G34" s="57">
        <v>1111758628</v>
      </c>
      <c r="H34" s="58">
        <v>124226</v>
      </c>
      <c r="I34" s="57" t="s">
        <v>35</v>
      </c>
      <c r="J34" s="57">
        <v>87065116055</v>
      </c>
      <c r="K34" s="58" t="s">
        <v>30</v>
      </c>
      <c r="L34" s="59">
        <v>875453</v>
      </c>
    </row>
    <row r="35" spans="4:12" ht="15.75" thickBot="1" x14ac:dyDescent="0.3">
      <c r="D35" s="56">
        <v>31</v>
      </c>
      <c r="E35" s="57" t="s">
        <v>151</v>
      </c>
      <c r="F35" s="57" t="s">
        <v>33</v>
      </c>
      <c r="G35" s="57">
        <v>1114623953</v>
      </c>
      <c r="H35" s="58">
        <v>124426</v>
      </c>
      <c r="I35" s="57" t="s">
        <v>35</v>
      </c>
      <c r="J35" s="57">
        <v>87077886376</v>
      </c>
      <c r="K35" s="58" t="s">
        <v>30</v>
      </c>
      <c r="L35" s="59">
        <v>875453</v>
      </c>
    </row>
    <row r="36" spans="4:12" ht="15.75" thickBot="1" x14ac:dyDescent="0.3">
      <c r="D36" s="56">
        <v>32</v>
      </c>
      <c r="E36" s="57" t="s">
        <v>152</v>
      </c>
      <c r="F36" s="57" t="s">
        <v>21</v>
      </c>
      <c r="G36" s="57">
        <v>1083868961</v>
      </c>
      <c r="H36" s="58" t="s">
        <v>183</v>
      </c>
      <c r="I36" s="57" t="s">
        <v>172</v>
      </c>
      <c r="J36" s="57" t="s">
        <v>184</v>
      </c>
      <c r="K36" s="58" t="s">
        <v>30</v>
      </c>
      <c r="L36" s="59">
        <v>875453</v>
      </c>
    </row>
    <row r="37" spans="4:12" ht="15.75" thickBot="1" x14ac:dyDescent="0.3">
      <c r="D37" s="56">
        <v>33</v>
      </c>
      <c r="E37" s="57" t="s">
        <v>80</v>
      </c>
      <c r="F37" s="57" t="s">
        <v>21</v>
      </c>
      <c r="G37" s="57">
        <v>1111666464</v>
      </c>
      <c r="H37" s="58">
        <v>193526</v>
      </c>
      <c r="I37" s="57" t="s">
        <v>35</v>
      </c>
      <c r="J37" s="57">
        <v>87057665483</v>
      </c>
      <c r="K37" s="58" t="s">
        <v>30</v>
      </c>
      <c r="L37" s="59">
        <v>875453</v>
      </c>
    </row>
    <row r="38" spans="4:12" ht="15.75" thickBot="1" x14ac:dyDescent="0.3">
      <c r="D38" s="56">
        <v>34</v>
      </c>
      <c r="E38" s="57" t="s">
        <v>84</v>
      </c>
      <c r="F38" s="57" t="s">
        <v>21</v>
      </c>
      <c r="G38" s="57">
        <v>1114622889</v>
      </c>
      <c r="H38" s="58">
        <v>124926</v>
      </c>
      <c r="I38" s="57" t="s">
        <v>35</v>
      </c>
      <c r="J38" s="57">
        <v>87075809800</v>
      </c>
      <c r="K38" s="58" t="s">
        <v>30</v>
      </c>
      <c r="L38" s="59">
        <v>875453</v>
      </c>
    </row>
    <row r="39" spans="4:12" ht="15.75" thickBot="1" x14ac:dyDescent="0.3">
      <c r="D39" s="56">
        <v>35</v>
      </c>
      <c r="E39" s="57" t="s">
        <v>154</v>
      </c>
      <c r="F39" s="57" t="s">
        <v>21</v>
      </c>
      <c r="G39" s="57">
        <v>1085544304</v>
      </c>
      <c r="H39" s="58" t="s">
        <v>185</v>
      </c>
      <c r="I39" s="57" t="s">
        <v>168</v>
      </c>
      <c r="J39" s="57">
        <v>87067584122</v>
      </c>
      <c r="K39" s="58" t="s">
        <v>30</v>
      </c>
      <c r="L39" s="59">
        <v>875453</v>
      </c>
    </row>
    <row r="40" spans="4:12" ht="15.75" thickBot="1" x14ac:dyDescent="0.3">
      <c r="D40" s="56">
        <v>36</v>
      </c>
      <c r="E40" s="57" t="s">
        <v>86</v>
      </c>
      <c r="F40" s="57" t="s">
        <v>21</v>
      </c>
      <c r="G40" s="57">
        <v>1059240235</v>
      </c>
      <c r="H40" s="58">
        <v>125026</v>
      </c>
      <c r="I40" s="57" t="s">
        <v>35</v>
      </c>
      <c r="J40" s="57">
        <v>7785703833</v>
      </c>
      <c r="K40" s="58" t="s">
        <v>30</v>
      </c>
      <c r="L40" s="59">
        <v>875453</v>
      </c>
    </row>
    <row r="41" spans="4:12" ht="15.75" thickBot="1" x14ac:dyDescent="0.3">
      <c r="D41" s="56">
        <v>37</v>
      </c>
      <c r="E41" s="57" t="s">
        <v>88</v>
      </c>
      <c r="F41" s="57" t="s">
        <v>33</v>
      </c>
      <c r="G41" s="57">
        <v>1114893003</v>
      </c>
      <c r="H41" s="58">
        <v>125226</v>
      </c>
      <c r="I41" s="57" t="s">
        <v>35</v>
      </c>
      <c r="J41" s="57">
        <v>87065136692</v>
      </c>
      <c r="K41" s="58" t="s">
        <v>30</v>
      </c>
      <c r="L41" s="59">
        <v>875453</v>
      </c>
    </row>
    <row r="42" spans="4:12" ht="15.75" thickBot="1" x14ac:dyDescent="0.3">
      <c r="D42" s="56">
        <v>38</v>
      </c>
      <c r="E42" s="57" t="s">
        <v>90</v>
      </c>
      <c r="F42" s="57" t="s">
        <v>21</v>
      </c>
      <c r="G42" s="57">
        <v>1080836965</v>
      </c>
      <c r="H42" s="58">
        <v>125326</v>
      </c>
      <c r="I42" s="57" t="s">
        <v>35</v>
      </c>
      <c r="J42" s="57">
        <v>91289546508</v>
      </c>
      <c r="K42" s="58" t="s">
        <v>30</v>
      </c>
      <c r="L42" s="59">
        <v>875453</v>
      </c>
    </row>
    <row r="43" spans="4:12" ht="15.75" thickBot="1" x14ac:dyDescent="0.3">
      <c r="D43" s="56">
        <v>39</v>
      </c>
      <c r="E43" s="57" t="s">
        <v>93</v>
      </c>
      <c r="F43" s="57" t="s">
        <v>21</v>
      </c>
      <c r="G43" s="57">
        <v>6102629</v>
      </c>
      <c r="H43" s="58">
        <v>125426</v>
      </c>
      <c r="I43" s="57" t="s">
        <v>35</v>
      </c>
      <c r="J43" s="57">
        <v>87057501355</v>
      </c>
      <c r="K43" s="58" t="s">
        <v>30</v>
      </c>
      <c r="L43" s="59">
        <v>875453</v>
      </c>
    </row>
    <row r="44" spans="4:12" ht="15.75" thickBot="1" x14ac:dyDescent="0.3">
      <c r="D44" s="56">
        <v>40</v>
      </c>
      <c r="E44" s="57" t="s">
        <v>155</v>
      </c>
      <c r="F44" s="57" t="s">
        <v>21</v>
      </c>
      <c r="G44" s="57">
        <v>1143868553</v>
      </c>
      <c r="H44" s="58">
        <v>125526</v>
      </c>
      <c r="I44" s="57" t="s">
        <v>186</v>
      </c>
      <c r="J44" s="57">
        <v>113020424058</v>
      </c>
      <c r="K44" s="58" t="s">
        <v>30</v>
      </c>
      <c r="L44" s="59">
        <v>875453</v>
      </c>
    </row>
    <row r="45" spans="4:12" ht="15.75" thickBot="1" x14ac:dyDescent="0.3">
      <c r="D45" s="56">
        <v>41</v>
      </c>
      <c r="E45" s="57" t="s">
        <v>95</v>
      </c>
      <c r="F45" s="57" t="s">
        <v>21</v>
      </c>
      <c r="G45" s="57">
        <v>1109117577</v>
      </c>
      <c r="H45" s="58" t="s">
        <v>187</v>
      </c>
      <c r="I45" s="57" t="s">
        <v>168</v>
      </c>
      <c r="J45" s="57">
        <v>87053721853</v>
      </c>
      <c r="K45" s="58" t="s">
        <v>30</v>
      </c>
      <c r="L45" s="59">
        <v>875453</v>
      </c>
    </row>
    <row r="46" spans="4:12" ht="15.75" thickBot="1" x14ac:dyDescent="0.3">
      <c r="D46" s="56">
        <v>42</v>
      </c>
      <c r="E46" s="57" t="s">
        <v>97</v>
      </c>
      <c r="F46" s="57" t="s">
        <v>21</v>
      </c>
      <c r="G46" s="57">
        <v>24398364</v>
      </c>
      <c r="H46" s="58">
        <v>125626</v>
      </c>
      <c r="I46" s="57" t="s">
        <v>83</v>
      </c>
      <c r="J46" s="57">
        <v>24106127126</v>
      </c>
      <c r="K46" s="58" t="s">
        <v>30</v>
      </c>
      <c r="L46" s="59">
        <v>875453</v>
      </c>
    </row>
    <row r="47" spans="4:12" ht="15.75" thickBot="1" x14ac:dyDescent="0.3">
      <c r="D47" s="56">
        <v>43</v>
      </c>
      <c r="E47" s="57" t="s">
        <v>99</v>
      </c>
      <c r="F47" s="57" t="s">
        <v>33</v>
      </c>
      <c r="G47" s="57">
        <v>1104820533</v>
      </c>
      <c r="H47" s="58">
        <v>125726</v>
      </c>
      <c r="I47" s="57" t="s">
        <v>35</v>
      </c>
      <c r="J47" s="57">
        <v>6089118245</v>
      </c>
      <c r="K47" s="58" t="s">
        <v>30</v>
      </c>
      <c r="L47" s="59">
        <v>875453</v>
      </c>
    </row>
    <row r="48" spans="4:12" ht="15.75" thickBot="1" x14ac:dyDescent="0.3">
      <c r="D48" s="56">
        <v>44</v>
      </c>
      <c r="E48" s="57" t="s">
        <v>101</v>
      </c>
      <c r="F48" s="57" t="s">
        <v>21</v>
      </c>
      <c r="G48" s="57">
        <v>1112046451</v>
      </c>
      <c r="H48" s="58" t="s">
        <v>188</v>
      </c>
      <c r="I48" s="57" t="s">
        <v>189</v>
      </c>
      <c r="J48" s="57" t="s">
        <v>190</v>
      </c>
      <c r="K48" s="58" t="s">
        <v>30</v>
      </c>
      <c r="L48" s="59">
        <v>875453</v>
      </c>
    </row>
    <row r="49" spans="4:12" ht="15.75" thickBot="1" x14ac:dyDescent="0.3">
      <c r="D49" s="56">
        <v>45</v>
      </c>
      <c r="E49" s="57" t="s">
        <v>103</v>
      </c>
      <c r="F49" s="57" t="s">
        <v>21</v>
      </c>
      <c r="G49" s="57">
        <v>1150936518</v>
      </c>
      <c r="H49" s="58">
        <v>125826</v>
      </c>
      <c r="I49" s="57" t="s">
        <v>35</v>
      </c>
      <c r="J49" s="57">
        <v>87079946340</v>
      </c>
      <c r="K49" s="58" t="s">
        <v>30</v>
      </c>
      <c r="L49" s="59">
        <v>875453</v>
      </c>
    </row>
    <row r="50" spans="4:12" ht="15.75" thickBot="1" x14ac:dyDescent="0.3">
      <c r="D50" s="56">
        <v>46</v>
      </c>
      <c r="E50" s="57" t="s">
        <v>105</v>
      </c>
      <c r="F50" s="57" t="s">
        <v>21</v>
      </c>
      <c r="G50" s="57">
        <v>1029600434</v>
      </c>
      <c r="H50" s="58">
        <v>125926</v>
      </c>
      <c r="I50" s="57" t="s">
        <v>35</v>
      </c>
      <c r="J50" s="57">
        <v>87081401372</v>
      </c>
      <c r="K50" s="58" t="s">
        <v>30</v>
      </c>
      <c r="L50" s="59">
        <v>875453</v>
      </c>
    </row>
    <row r="51" spans="4:12" ht="15.75" thickBot="1" x14ac:dyDescent="0.3">
      <c r="D51" s="56">
        <v>47</v>
      </c>
      <c r="E51" s="57" t="s">
        <v>108</v>
      </c>
      <c r="F51" s="57" t="s">
        <v>21</v>
      </c>
      <c r="G51" s="57">
        <v>1114543389</v>
      </c>
      <c r="H51" s="58" t="s">
        <v>191</v>
      </c>
      <c r="I51" s="57" t="s">
        <v>168</v>
      </c>
      <c r="J51" s="57" t="s">
        <v>192</v>
      </c>
      <c r="K51" s="58" t="s">
        <v>30</v>
      </c>
      <c r="L51" s="59">
        <v>875453</v>
      </c>
    </row>
    <row r="52" spans="4:12" ht="15.75" thickBot="1" x14ac:dyDescent="0.3">
      <c r="D52" s="56">
        <v>48</v>
      </c>
      <c r="E52" s="57" t="s">
        <v>156</v>
      </c>
      <c r="F52" s="57" t="s">
        <v>21</v>
      </c>
      <c r="G52" s="57">
        <v>1193443392</v>
      </c>
      <c r="H52" s="58">
        <v>126026</v>
      </c>
      <c r="I52" s="57" t="s">
        <v>35</v>
      </c>
      <c r="J52" s="57">
        <v>91282799311</v>
      </c>
      <c r="K52" s="58" t="s">
        <v>30</v>
      </c>
      <c r="L52" s="59">
        <v>875453</v>
      </c>
    </row>
    <row r="53" spans="4:12" ht="15.75" thickBot="1" x14ac:dyDescent="0.3">
      <c r="D53" s="56">
        <v>49</v>
      </c>
      <c r="E53" s="57" t="s">
        <v>157</v>
      </c>
      <c r="F53" s="57" t="s">
        <v>21</v>
      </c>
      <c r="G53" s="57">
        <v>1193232411</v>
      </c>
      <c r="H53" s="58">
        <v>193726</v>
      </c>
      <c r="I53" s="57" t="s">
        <v>35</v>
      </c>
      <c r="J53" s="57">
        <v>7726359045</v>
      </c>
      <c r="K53" s="58" t="s">
        <v>30</v>
      </c>
      <c r="L53" s="59">
        <v>875453</v>
      </c>
    </row>
    <row r="54" spans="4:12" ht="15.75" thickBot="1" x14ac:dyDescent="0.3">
      <c r="D54" s="56">
        <v>50</v>
      </c>
      <c r="E54" s="57" t="s">
        <v>112</v>
      </c>
      <c r="F54" s="57" t="s">
        <v>33</v>
      </c>
      <c r="G54" s="57">
        <v>1059240939</v>
      </c>
      <c r="H54" s="58">
        <v>126226</v>
      </c>
      <c r="I54" s="57" t="s">
        <v>35</v>
      </c>
      <c r="J54" s="57">
        <v>51490920823</v>
      </c>
      <c r="K54" s="58" t="s">
        <v>30</v>
      </c>
      <c r="L54" s="59">
        <v>875453</v>
      </c>
    </row>
    <row r="55" spans="4:12" ht="15.75" thickBot="1" x14ac:dyDescent="0.3">
      <c r="D55" s="56">
        <v>51</v>
      </c>
      <c r="E55" s="57" t="s">
        <v>159</v>
      </c>
      <c r="F55" s="57" t="s">
        <v>21</v>
      </c>
      <c r="G55" s="57">
        <v>1111546484</v>
      </c>
      <c r="H55" s="58">
        <v>126326</v>
      </c>
      <c r="I55" s="57" t="s">
        <v>35</v>
      </c>
      <c r="J55" s="57">
        <v>87055446204</v>
      </c>
      <c r="K55" s="58" t="s">
        <v>30</v>
      </c>
      <c r="L55" s="59">
        <v>875453</v>
      </c>
    </row>
    <row r="56" spans="4:12" ht="15.75" thickBot="1" x14ac:dyDescent="0.3">
      <c r="D56" s="92" t="s">
        <v>193</v>
      </c>
      <c r="E56" s="93"/>
      <c r="F56" s="93"/>
      <c r="G56" s="93"/>
      <c r="H56" s="93"/>
      <c r="I56" s="93"/>
      <c r="J56" s="93"/>
      <c r="K56" s="94"/>
      <c r="L56" s="60">
        <v>44648103</v>
      </c>
    </row>
  </sheetData>
  <mergeCells count="10">
    <mergeCell ref="I3:I4"/>
    <mergeCell ref="J3:J4"/>
    <mergeCell ref="K3:K4"/>
    <mergeCell ref="L3:L4"/>
    <mergeCell ref="D56:K56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workbookViewId="0">
      <selection activeCell="I8" sqref="I8"/>
    </sheetView>
  </sheetViews>
  <sheetFormatPr baseColWidth="10" defaultColWidth="11.42578125" defaultRowHeight="15" x14ac:dyDescent="0.25"/>
  <cols>
    <col min="1" max="1" width="11.42578125" style="10"/>
    <col min="2" max="2" width="10" style="10" bestFit="1" customWidth="1"/>
    <col min="3" max="3" width="14" style="10" bestFit="1" customWidth="1"/>
    <col min="4" max="4" width="44.85546875" style="10" bestFit="1" customWidth="1"/>
    <col min="5" max="5" width="30.140625" style="10" customWidth="1"/>
    <col min="6" max="6" width="21.42578125" style="10" customWidth="1"/>
    <col min="7" max="16384" width="11.42578125" style="10"/>
  </cols>
  <sheetData>
    <row r="1" spans="1:6" ht="15.75" thickBot="1" x14ac:dyDescent="0.3">
      <c r="A1" s="12" t="s">
        <v>121</v>
      </c>
      <c r="B1" s="6" t="s">
        <v>194</v>
      </c>
      <c r="C1" s="3" t="s">
        <v>195</v>
      </c>
      <c r="D1" s="7" t="s">
        <v>5</v>
      </c>
      <c r="E1" s="8" t="s">
        <v>196</v>
      </c>
      <c r="F1" s="16" t="s">
        <v>197</v>
      </c>
    </row>
    <row r="2" spans="1:6" ht="15" customHeight="1" x14ac:dyDescent="0.25">
      <c r="A2" s="13">
        <v>1</v>
      </c>
      <c r="B2" s="4" t="s">
        <v>21</v>
      </c>
      <c r="C2" s="2" t="s">
        <v>198</v>
      </c>
      <c r="D2" s="2" t="s">
        <v>199</v>
      </c>
      <c r="E2" s="11">
        <v>40</v>
      </c>
      <c r="F2" s="9" t="str">
        <f t="shared" ref="F2:F35" si="0">IF(E2&gt;=40,"CUMPLE","NO CUMPLE")</f>
        <v>CUMPLE</v>
      </c>
    </row>
    <row r="3" spans="1:6" x14ac:dyDescent="0.25">
      <c r="A3" s="13">
        <v>2</v>
      </c>
      <c r="B3" s="5" t="s">
        <v>21</v>
      </c>
      <c r="C3" s="1" t="s">
        <v>200</v>
      </c>
      <c r="D3" s="1" t="s">
        <v>201</v>
      </c>
      <c r="E3" s="9">
        <v>40</v>
      </c>
      <c r="F3" s="9" t="str">
        <f>IF(E3&gt;=40,"CUMPLE","NO CUMPLE")</f>
        <v>CUMPLE</v>
      </c>
    </row>
    <row r="4" spans="1:6" x14ac:dyDescent="0.25">
      <c r="A4" s="13">
        <v>3</v>
      </c>
      <c r="B4" s="5" t="s">
        <v>21</v>
      </c>
      <c r="C4" s="1" t="s">
        <v>202</v>
      </c>
      <c r="D4" s="1" t="s">
        <v>203</v>
      </c>
      <c r="E4" s="9">
        <v>40</v>
      </c>
      <c r="F4" s="9" t="str">
        <f t="shared" si="0"/>
        <v>CUMPLE</v>
      </c>
    </row>
    <row r="5" spans="1:6" x14ac:dyDescent="0.25">
      <c r="A5" s="13">
        <v>4</v>
      </c>
      <c r="B5" s="5" t="s">
        <v>21</v>
      </c>
      <c r="C5" s="1">
        <v>1118311763</v>
      </c>
      <c r="D5" s="1" t="s">
        <v>204</v>
      </c>
      <c r="E5" s="9">
        <v>40</v>
      </c>
      <c r="F5" s="9" t="str">
        <f t="shared" si="0"/>
        <v>CUMPLE</v>
      </c>
    </row>
    <row r="6" spans="1:6" x14ac:dyDescent="0.25">
      <c r="A6" s="13">
        <v>5</v>
      </c>
      <c r="B6" s="5" t="s">
        <v>21</v>
      </c>
      <c r="C6" s="1" t="s">
        <v>205</v>
      </c>
      <c r="D6" s="1" t="s">
        <v>206</v>
      </c>
      <c r="E6" s="15">
        <v>40</v>
      </c>
      <c r="F6" s="9" t="str">
        <f t="shared" si="0"/>
        <v>CUMPLE</v>
      </c>
    </row>
    <row r="7" spans="1:6" x14ac:dyDescent="0.25">
      <c r="A7" s="13">
        <v>6</v>
      </c>
      <c r="B7" s="5" t="s">
        <v>21</v>
      </c>
      <c r="C7" s="1" t="s">
        <v>207</v>
      </c>
      <c r="D7" s="1" t="s">
        <v>208</v>
      </c>
      <c r="E7" s="9">
        <v>40</v>
      </c>
      <c r="F7" s="9" t="str">
        <f t="shared" si="0"/>
        <v>CUMPLE</v>
      </c>
    </row>
    <row r="8" spans="1:6" x14ac:dyDescent="0.25">
      <c r="A8" s="13">
        <v>7</v>
      </c>
      <c r="B8" s="5" t="s">
        <v>33</v>
      </c>
      <c r="C8" s="1" t="s">
        <v>209</v>
      </c>
      <c r="D8" s="1" t="s">
        <v>210</v>
      </c>
      <c r="E8" s="9">
        <v>40</v>
      </c>
      <c r="F8" s="9" t="str">
        <f t="shared" si="0"/>
        <v>CUMPLE</v>
      </c>
    </row>
    <row r="9" spans="1:6" x14ac:dyDescent="0.25">
      <c r="A9" s="13">
        <v>8</v>
      </c>
      <c r="B9" s="5" t="s">
        <v>33</v>
      </c>
      <c r="C9" s="1" t="s">
        <v>211</v>
      </c>
      <c r="D9" s="1" t="s">
        <v>212</v>
      </c>
      <c r="E9" s="9">
        <v>40</v>
      </c>
      <c r="F9" s="9" t="str">
        <f t="shared" si="0"/>
        <v>CUMPLE</v>
      </c>
    </row>
    <row r="10" spans="1:6" x14ac:dyDescent="0.25">
      <c r="A10" s="13">
        <v>9</v>
      </c>
      <c r="B10" s="5" t="s">
        <v>33</v>
      </c>
      <c r="C10" s="1" t="s">
        <v>213</v>
      </c>
      <c r="D10" s="1" t="s">
        <v>214</v>
      </c>
      <c r="E10" s="9">
        <v>40</v>
      </c>
      <c r="F10" s="9" t="str">
        <f t="shared" si="0"/>
        <v>CUMPLE</v>
      </c>
    </row>
    <row r="11" spans="1:6" x14ac:dyDescent="0.25">
      <c r="A11" s="13">
        <v>10</v>
      </c>
      <c r="B11" s="5" t="s">
        <v>21</v>
      </c>
      <c r="C11" s="1" t="s">
        <v>215</v>
      </c>
      <c r="D11" s="1" t="s">
        <v>216</v>
      </c>
      <c r="E11" s="15">
        <v>40</v>
      </c>
      <c r="F11" s="9" t="str">
        <f t="shared" si="0"/>
        <v>CUMPLE</v>
      </c>
    </row>
    <row r="12" spans="1:6" x14ac:dyDescent="0.25">
      <c r="A12" s="13">
        <v>11</v>
      </c>
      <c r="B12" s="5" t="s">
        <v>21</v>
      </c>
      <c r="C12" s="1" t="s">
        <v>217</v>
      </c>
      <c r="D12" s="1" t="s">
        <v>218</v>
      </c>
      <c r="E12" s="9">
        <v>40</v>
      </c>
      <c r="F12" s="9" t="str">
        <f t="shared" si="0"/>
        <v>CUMPLE</v>
      </c>
    </row>
    <row r="13" spans="1:6" x14ac:dyDescent="0.25">
      <c r="A13" s="13">
        <v>12</v>
      </c>
      <c r="B13" s="5" t="s">
        <v>21</v>
      </c>
      <c r="C13" s="1" t="s">
        <v>219</v>
      </c>
      <c r="D13" s="1" t="s">
        <v>220</v>
      </c>
      <c r="E13" s="9">
        <v>40</v>
      </c>
      <c r="F13" s="9" t="str">
        <f t="shared" si="0"/>
        <v>CUMPLE</v>
      </c>
    </row>
    <row r="14" spans="1:6" x14ac:dyDescent="0.25">
      <c r="A14" s="13">
        <v>13</v>
      </c>
      <c r="B14" s="5" t="s">
        <v>21</v>
      </c>
      <c r="C14" s="1" t="s">
        <v>221</v>
      </c>
      <c r="D14" s="1" t="s">
        <v>222</v>
      </c>
      <c r="E14" s="9">
        <v>40</v>
      </c>
      <c r="F14" s="9" t="str">
        <f t="shared" si="0"/>
        <v>CUMPLE</v>
      </c>
    </row>
    <row r="15" spans="1:6" x14ac:dyDescent="0.25">
      <c r="A15" s="13">
        <v>14</v>
      </c>
      <c r="B15" s="5" t="s">
        <v>21</v>
      </c>
      <c r="C15" s="1" t="s">
        <v>223</v>
      </c>
      <c r="D15" s="1" t="s">
        <v>224</v>
      </c>
      <c r="E15" s="9">
        <v>40</v>
      </c>
      <c r="F15" s="9" t="str">
        <f t="shared" si="0"/>
        <v>CUMPLE</v>
      </c>
    </row>
    <row r="16" spans="1:6" x14ac:dyDescent="0.25">
      <c r="A16" s="13">
        <v>15</v>
      </c>
      <c r="B16" s="5" t="s">
        <v>33</v>
      </c>
      <c r="C16" s="1" t="s">
        <v>225</v>
      </c>
      <c r="D16" s="1" t="s">
        <v>226</v>
      </c>
      <c r="E16" s="9">
        <v>40</v>
      </c>
      <c r="F16" s="9" t="str">
        <f t="shared" si="0"/>
        <v>CUMPLE</v>
      </c>
    </row>
    <row r="17" spans="1:6" x14ac:dyDescent="0.25">
      <c r="A17" s="13">
        <v>16</v>
      </c>
      <c r="B17" s="5" t="s">
        <v>21</v>
      </c>
      <c r="C17" s="1" t="s">
        <v>227</v>
      </c>
      <c r="D17" s="1" t="s">
        <v>228</v>
      </c>
      <c r="E17" s="9">
        <v>40</v>
      </c>
      <c r="F17" s="9" t="str">
        <f t="shared" si="0"/>
        <v>CUMPLE</v>
      </c>
    </row>
    <row r="18" spans="1:6" x14ac:dyDescent="0.25">
      <c r="A18" s="13">
        <v>17</v>
      </c>
      <c r="B18" s="5" t="s">
        <v>33</v>
      </c>
      <c r="C18" s="1" t="s">
        <v>229</v>
      </c>
      <c r="D18" s="1" t="s">
        <v>230</v>
      </c>
      <c r="E18" s="9">
        <v>40</v>
      </c>
      <c r="F18" s="9" t="str">
        <f t="shared" si="0"/>
        <v>CUMPLE</v>
      </c>
    </row>
    <row r="19" spans="1:6" x14ac:dyDescent="0.25">
      <c r="A19" s="13">
        <v>18</v>
      </c>
      <c r="B19" s="5" t="s">
        <v>33</v>
      </c>
      <c r="C19" s="1" t="s">
        <v>231</v>
      </c>
      <c r="D19" s="1" t="s">
        <v>232</v>
      </c>
      <c r="E19" s="9">
        <v>40</v>
      </c>
      <c r="F19" s="9" t="str">
        <f t="shared" si="0"/>
        <v>CUMPLE</v>
      </c>
    </row>
    <row r="20" spans="1:6" x14ac:dyDescent="0.25">
      <c r="A20" s="13">
        <v>19</v>
      </c>
      <c r="B20" s="5" t="s">
        <v>21</v>
      </c>
      <c r="C20" s="1">
        <v>1056709208</v>
      </c>
      <c r="D20" s="1" t="s">
        <v>233</v>
      </c>
      <c r="E20" s="9">
        <v>40</v>
      </c>
      <c r="F20" s="9" t="str">
        <f t="shared" si="0"/>
        <v>CUMPLE</v>
      </c>
    </row>
    <row r="21" spans="1:6" x14ac:dyDescent="0.25">
      <c r="A21" s="13">
        <v>20</v>
      </c>
      <c r="B21" s="5" t="s">
        <v>21</v>
      </c>
      <c r="C21" s="1" t="s">
        <v>234</v>
      </c>
      <c r="D21" s="1" t="s">
        <v>235</v>
      </c>
      <c r="E21" s="9">
        <v>40</v>
      </c>
      <c r="F21" s="9" t="str">
        <f t="shared" si="0"/>
        <v>CUMPLE</v>
      </c>
    </row>
    <row r="22" spans="1:6" x14ac:dyDescent="0.25">
      <c r="A22" s="13">
        <v>21</v>
      </c>
      <c r="B22" s="5" t="s">
        <v>21</v>
      </c>
      <c r="C22" s="1" t="s">
        <v>236</v>
      </c>
      <c r="D22" s="1" t="s">
        <v>237</v>
      </c>
      <c r="E22" s="9">
        <v>40</v>
      </c>
      <c r="F22" s="9" t="str">
        <f t="shared" si="0"/>
        <v>CUMPLE</v>
      </c>
    </row>
    <row r="23" spans="1:6" x14ac:dyDescent="0.25">
      <c r="A23" s="13">
        <v>22</v>
      </c>
      <c r="B23" s="5" t="s">
        <v>21</v>
      </c>
      <c r="C23" s="1" t="s">
        <v>238</v>
      </c>
      <c r="D23" s="1" t="s">
        <v>239</v>
      </c>
      <c r="E23" s="9">
        <v>40</v>
      </c>
      <c r="F23" s="9" t="str">
        <f t="shared" si="0"/>
        <v>CUMPLE</v>
      </c>
    </row>
    <row r="24" spans="1:6" x14ac:dyDescent="0.25">
      <c r="A24" s="13">
        <v>23</v>
      </c>
      <c r="B24" s="5" t="s">
        <v>21</v>
      </c>
      <c r="C24" s="1" t="s">
        <v>240</v>
      </c>
      <c r="D24" s="1" t="s">
        <v>241</v>
      </c>
      <c r="E24" s="9">
        <v>40</v>
      </c>
      <c r="F24" s="9" t="str">
        <f t="shared" si="0"/>
        <v>CUMPLE</v>
      </c>
    </row>
    <row r="25" spans="1:6" x14ac:dyDescent="0.25">
      <c r="A25" s="13">
        <v>24</v>
      </c>
      <c r="B25" s="5" t="s">
        <v>21</v>
      </c>
      <c r="C25" s="1" t="s">
        <v>242</v>
      </c>
      <c r="D25" s="1" t="s">
        <v>243</v>
      </c>
      <c r="E25" s="9">
        <v>40</v>
      </c>
      <c r="F25" s="9" t="str">
        <f t="shared" si="0"/>
        <v>CUMPLE</v>
      </c>
    </row>
    <row r="26" spans="1:6" x14ac:dyDescent="0.25">
      <c r="A26" s="13">
        <v>25</v>
      </c>
      <c r="B26" s="5" t="s">
        <v>33</v>
      </c>
      <c r="C26" s="1" t="s">
        <v>244</v>
      </c>
      <c r="D26" s="1" t="s">
        <v>245</v>
      </c>
      <c r="E26" s="9">
        <v>40</v>
      </c>
      <c r="F26" s="9" t="str">
        <f t="shared" si="0"/>
        <v>CUMPLE</v>
      </c>
    </row>
    <row r="27" spans="1:6" x14ac:dyDescent="0.25">
      <c r="A27" s="13">
        <v>26</v>
      </c>
      <c r="B27" s="5" t="s">
        <v>21</v>
      </c>
      <c r="C27" s="1" t="s">
        <v>246</v>
      </c>
      <c r="D27" s="1" t="s">
        <v>247</v>
      </c>
      <c r="E27" s="9">
        <v>40</v>
      </c>
      <c r="F27" s="9" t="str">
        <f t="shared" si="0"/>
        <v>CUMPLE</v>
      </c>
    </row>
    <row r="28" spans="1:6" x14ac:dyDescent="0.25">
      <c r="A28" s="13">
        <v>27</v>
      </c>
      <c r="B28" s="5" t="s">
        <v>21</v>
      </c>
      <c r="C28" s="1" t="s">
        <v>248</v>
      </c>
      <c r="D28" s="1" t="s">
        <v>249</v>
      </c>
      <c r="E28" s="9">
        <v>40</v>
      </c>
      <c r="F28" s="9" t="str">
        <f t="shared" si="0"/>
        <v>CUMPLE</v>
      </c>
    </row>
    <row r="29" spans="1:6" x14ac:dyDescent="0.25">
      <c r="A29" s="13">
        <v>28</v>
      </c>
      <c r="B29" s="5" t="s">
        <v>21</v>
      </c>
      <c r="C29" s="1" t="s">
        <v>250</v>
      </c>
      <c r="D29" s="1" t="s">
        <v>251</v>
      </c>
      <c r="E29" s="9">
        <v>40</v>
      </c>
      <c r="F29" s="9" t="str">
        <f t="shared" si="0"/>
        <v>CUMPLE</v>
      </c>
    </row>
    <row r="30" spans="1:6" x14ac:dyDescent="0.25">
      <c r="A30" s="13">
        <v>29</v>
      </c>
      <c r="B30" s="5" t="s">
        <v>21</v>
      </c>
      <c r="C30" s="1" t="s">
        <v>252</v>
      </c>
      <c r="D30" s="1" t="s">
        <v>253</v>
      </c>
      <c r="E30" s="9">
        <v>40</v>
      </c>
      <c r="F30" s="9" t="str">
        <f t="shared" si="0"/>
        <v>CUMPLE</v>
      </c>
    </row>
    <row r="31" spans="1:6" x14ac:dyDescent="0.25">
      <c r="A31" s="13">
        <v>30</v>
      </c>
      <c r="B31" s="5" t="s">
        <v>21</v>
      </c>
      <c r="C31" s="1" t="s">
        <v>254</v>
      </c>
      <c r="D31" s="1" t="s">
        <v>255</v>
      </c>
      <c r="E31" s="9">
        <v>40</v>
      </c>
      <c r="F31" s="9" t="str">
        <f t="shared" si="0"/>
        <v>CUMPLE</v>
      </c>
    </row>
    <row r="32" spans="1:6" x14ac:dyDescent="0.25">
      <c r="A32" s="13">
        <v>31</v>
      </c>
      <c r="B32" s="5" t="s">
        <v>21</v>
      </c>
      <c r="C32" s="1" t="s">
        <v>256</v>
      </c>
      <c r="D32" s="1" t="s">
        <v>257</v>
      </c>
      <c r="E32" s="9">
        <v>40</v>
      </c>
      <c r="F32" s="9" t="str">
        <f t="shared" si="0"/>
        <v>CUMPLE</v>
      </c>
    </row>
    <row r="33" spans="1:6" x14ac:dyDescent="0.25">
      <c r="A33" s="13">
        <v>32</v>
      </c>
      <c r="B33" s="5" t="s">
        <v>21</v>
      </c>
      <c r="C33" s="1" t="s">
        <v>258</v>
      </c>
      <c r="D33" s="1" t="s">
        <v>259</v>
      </c>
      <c r="E33" s="9">
        <v>40</v>
      </c>
      <c r="F33" s="9" t="str">
        <f t="shared" si="0"/>
        <v>CUMPLE</v>
      </c>
    </row>
    <row r="34" spans="1:6" x14ac:dyDescent="0.25">
      <c r="A34" s="13">
        <v>33</v>
      </c>
      <c r="B34" s="5" t="s">
        <v>33</v>
      </c>
      <c r="C34" s="1" t="s">
        <v>260</v>
      </c>
      <c r="D34" s="1" t="s">
        <v>261</v>
      </c>
      <c r="E34" s="9">
        <v>40</v>
      </c>
      <c r="F34" s="9" t="str">
        <f t="shared" si="0"/>
        <v>CUMPLE</v>
      </c>
    </row>
    <row r="35" spans="1:6" x14ac:dyDescent="0.25">
      <c r="A35" s="13">
        <v>34</v>
      </c>
      <c r="B35" s="5" t="s">
        <v>33</v>
      </c>
      <c r="C35" s="1">
        <v>1193170334</v>
      </c>
      <c r="D35" s="1" t="s">
        <v>262</v>
      </c>
      <c r="E35" s="9">
        <v>40</v>
      </c>
      <c r="F35" s="9" t="str">
        <f t="shared" si="0"/>
        <v>CUMPLE</v>
      </c>
    </row>
    <row r="38" spans="1:6" x14ac:dyDescent="0.25">
      <c r="D38" s="14"/>
    </row>
    <row r="39" spans="1:6" x14ac:dyDescent="0.25">
      <c r="D39" s="14"/>
    </row>
    <row r="40" spans="1:6" x14ac:dyDescent="0.25">
      <c r="D40" s="14"/>
    </row>
    <row r="41" spans="1:6" x14ac:dyDescent="0.25">
      <c r="D41" s="14"/>
    </row>
    <row r="42" spans="1:6" x14ac:dyDescent="0.25">
      <c r="D42" s="14"/>
      <c r="F42" s="10" t="s">
        <v>263</v>
      </c>
    </row>
    <row r="43" spans="1:6" x14ac:dyDescent="0.25">
      <c r="D43" s="14"/>
    </row>
    <row r="44" spans="1:6" x14ac:dyDescent="0.25">
      <c r="D44" s="14"/>
    </row>
    <row r="45" spans="1:6" x14ac:dyDescent="0.25">
      <c r="D45" s="14"/>
    </row>
    <row r="46" spans="1:6" x14ac:dyDescent="0.25">
      <c r="D46" s="14"/>
    </row>
    <row r="47" spans="1:6" x14ac:dyDescent="0.25">
      <c r="D47" s="14"/>
    </row>
    <row r="48" spans="1:6" x14ac:dyDescent="0.25">
      <c r="D48" s="14"/>
    </row>
    <row r="49" spans="4:4" x14ac:dyDescent="0.25">
      <c r="D49" s="14"/>
    </row>
    <row r="50" spans="4:4" x14ac:dyDescent="0.25">
      <c r="D50" s="14"/>
    </row>
    <row r="51" spans="4:4" x14ac:dyDescent="0.25">
      <c r="D51" s="14"/>
    </row>
    <row r="52" spans="4:4" x14ac:dyDescent="0.25">
      <c r="D52" s="14"/>
    </row>
    <row r="53" spans="4:4" x14ac:dyDescent="0.25">
      <c r="D53" s="14"/>
    </row>
    <row r="54" spans="4:4" x14ac:dyDescent="0.25">
      <c r="D54" s="14"/>
    </row>
    <row r="55" spans="4:4" x14ac:dyDescent="0.25">
      <c r="D55" s="14"/>
    </row>
    <row r="56" spans="4:4" x14ac:dyDescent="0.25">
      <c r="D56" s="14"/>
    </row>
    <row r="57" spans="4:4" x14ac:dyDescent="0.25">
      <c r="D57" s="14"/>
    </row>
    <row r="58" spans="4:4" x14ac:dyDescent="0.25">
      <c r="D58" s="14"/>
    </row>
    <row r="59" spans="4:4" x14ac:dyDescent="0.25">
      <c r="D59" s="14"/>
    </row>
    <row r="60" spans="4:4" x14ac:dyDescent="0.25">
      <c r="D60" s="14"/>
    </row>
    <row r="61" spans="4:4" x14ac:dyDescent="0.25">
      <c r="D61" s="14"/>
    </row>
    <row r="62" spans="4:4" x14ac:dyDescent="0.25">
      <c r="D62" s="14"/>
    </row>
    <row r="63" spans="4:4" x14ac:dyDescent="0.25">
      <c r="D63" s="14"/>
    </row>
    <row r="64" spans="4:4" x14ac:dyDescent="0.25">
      <c r="D64" s="14"/>
    </row>
    <row r="65" spans="4:4" x14ac:dyDescent="0.25">
      <c r="D65" s="14"/>
    </row>
    <row r="66" spans="4:4" x14ac:dyDescent="0.25">
      <c r="D66" s="14"/>
    </row>
    <row r="67" spans="4:4" x14ac:dyDescent="0.25">
      <c r="D67" s="14"/>
    </row>
    <row r="68" spans="4:4" x14ac:dyDescent="0.25">
      <c r="D68" s="14"/>
    </row>
    <row r="69" spans="4:4" x14ac:dyDescent="0.25">
      <c r="D69" s="14"/>
    </row>
    <row r="70" spans="4:4" x14ac:dyDescent="0.25">
      <c r="D70" s="14"/>
    </row>
    <row r="71" spans="4:4" x14ac:dyDescent="0.25">
      <c r="D71" s="14"/>
    </row>
    <row r="72" spans="4:4" x14ac:dyDescent="0.25">
      <c r="D72" s="14"/>
    </row>
    <row r="73" spans="4:4" x14ac:dyDescent="0.25">
      <c r="D73" s="14"/>
    </row>
    <row r="74" spans="4:4" x14ac:dyDescent="0.25">
      <c r="D74" s="14"/>
    </row>
    <row r="75" spans="4:4" x14ac:dyDescent="0.25">
      <c r="D75" s="14"/>
    </row>
    <row r="76" spans="4:4" x14ac:dyDescent="0.25">
      <c r="D76" s="14"/>
    </row>
    <row r="77" spans="4:4" x14ac:dyDescent="0.25">
      <c r="D77" s="14"/>
    </row>
    <row r="78" spans="4:4" x14ac:dyDescent="0.25">
      <c r="D78" s="14"/>
    </row>
    <row r="79" spans="4:4" x14ac:dyDescent="0.25">
      <c r="D79" s="14"/>
    </row>
    <row r="80" spans="4:4" x14ac:dyDescent="0.25">
      <c r="D80" s="14"/>
    </row>
    <row r="81" spans="4:4" x14ac:dyDescent="0.25">
      <c r="D81" s="14"/>
    </row>
    <row r="82" spans="4:4" x14ac:dyDescent="0.25">
      <c r="D82" s="14"/>
    </row>
    <row r="83" spans="4:4" x14ac:dyDescent="0.25">
      <c r="D83" s="14"/>
    </row>
    <row r="84" spans="4:4" x14ac:dyDescent="0.25">
      <c r="D84" s="14"/>
    </row>
    <row r="85" spans="4:4" x14ac:dyDescent="0.25">
      <c r="D85" s="14"/>
    </row>
    <row r="86" spans="4:4" x14ac:dyDescent="0.25">
      <c r="D86" s="14"/>
    </row>
    <row r="87" spans="4:4" x14ac:dyDescent="0.25">
      <c r="D87" s="14"/>
    </row>
  </sheetData>
  <autoFilter ref="A1:F35" xr:uid="{00000000-0009-0000-0000-000003000000}"/>
  <conditionalFormatting sqref="D2:D35">
    <cfRule type="duplicateValues" dxfId="0" priority="18"/>
  </conditionalFormatting>
  <pageMargins left="0.70866141732283472" right="0.70866141732283472" top="0.74803149606299213" bottom="0.74803149606299213" header="0.31496062992125984" footer="0.31496062992125984"/>
  <pageSetup paperSize="9" scale="75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f9835f2c-a5d8-47b8-88a4-77a3324b5592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7D44C9E92C44E80A327525A1EA580" ma:contentTypeVersion="20" ma:contentTypeDescription="Create a new document." ma:contentTypeScope="" ma:versionID="84c623232b36405e5762bb147de97bd2">
  <xsd:schema xmlns:xsd="http://www.w3.org/2001/XMLSchema" xmlns:xs="http://www.w3.org/2001/XMLSchema" xmlns:p="http://schemas.microsoft.com/office/2006/metadata/properties" xmlns:ns1="http://schemas.microsoft.com/sharepoint/v3" xmlns:ns3="1bf1a7e0-185b-409f-818a-54ddd52a2afa" xmlns:ns4="f9835f2c-a5d8-47b8-88a4-77a3324b5592" targetNamespace="http://schemas.microsoft.com/office/2006/metadata/properties" ma:root="true" ma:fieldsID="e3d85f60f682b0ca5e454046eb237805" ns1:_="" ns3:_="" ns4:_="">
    <xsd:import namespace="http://schemas.microsoft.com/sharepoint/v3"/>
    <xsd:import namespace="1bf1a7e0-185b-409f-818a-54ddd52a2afa"/>
    <xsd:import namespace="f9835f2c-a5d8-47b8-88a4-77a3324b559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1a7e0-185b-409f-818a-54ddd52a2a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5f2c-a5d8-47b8-88a4-77a3324b5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D73E3C-BEC7-459F-8975-2A391C237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130142-772C-423E-83EF-1A2B30A8FB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9835f2c-a5d8-47b8-88a4-77a3324b5592"/>
  </ds:schemaRefs>
</ds:datastoreItem>
</file>

<file path=customXml/itemProps3.xml><?xml version="1.0" encoding="utf-8"?>
<ds:datastoreItem xmlns:ds="http://schemas.openxmlformats.org/officeDocument/2006/customXml" ds:itemID="{F870E206-6B3C-4E42-8BC0-434AB1E9BF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f1a7e0-185b-409f-818a-54ddd52a2afa"/>
    <ds:schemaRef ds:uri="f9835f2c-a5d8-47b8-88a4-77a3324b55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 de Pago</vt:lpstr>
      <vt:lpstr>TablaResoluciones</vt:lpstr>
      <vt:lpstr>TablaPago</vt:lpstr>
      <vt:lpstr>Cumplimiento Horas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Diaz Fernandez</dc:creator>
  <cp:keywords/>
  <dc:description/>
  <cp:lastModifiedBy>Santiago Lopez Ramirez</cp:lastModifiedBy>
  <cp:revision/>
  <dcterms:created xsi:type="dcterms:W3CDTF">2019-08-14T17:44:20Z</dcterms:created>
  <dcterms:modified xsi:type="dcterms:W3CDTF">2026-10-19T23:52:51Z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2025-02-03T19:20:47Z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c5094006-5a03-4c75-8916-bb4c6bfed1e9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0x010100BB27D44C9E92C44E80A327525A1EA580</vt:lpwstr>
  </property>
</Properties>
</file>